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ok5\OneDrive\ドキュメント\自転車\一覧\一覧表データ\"/>
    </mc:Choice>
  </mc:AlternateContent>
  <xr:revisionPtr revIDLastSave="0" documentId="13_ncr:1_{435EFA0D-FF61-4E0C-8634-75B03619965A}" xr6:coauthVersionLast="47" xr6:coauthVersionMax="47" xr10:uidLastSave="{00000000-0000-0000-0000-000000000000}"/>
  <bookViews>
    <workbookView xWindow="3795" yWindow="1410" windowWidth="24975" windowHeight="16245" xr2:uid="{00000000-000D-0000-FFFF-FFFF00000000}"/>
  </bookViews>
  <sheets>
    <sheet name="記録一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6" i="1"/>
  <c r="F15" i="1"/>
  <c r="F17" i="1"/>
  <c r="F18" i="1"/>
  <c r="F20" i="1"/>
  <c r="F19" i="1"/>
  <c r="F22" i="1"/>
  <c r="F21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5" i="1"/>
  <c r="F54" i="1"/>
  <c r="F57" i="1"/>
  <c r="F56" i="1"/>
  <c r="F59" i="1"/>
  <c r="F58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8" i="1"/>
  <c r="F87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1" i="1"/>
  <c r="F200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8" i="1"/>
  <c r="F287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2" i="1"/>
  <c r="F351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5" i="1"/>
  <c r="F416" i="1"/>
  <c r="F418" i="1"/>
  <c r="F417" i="1"/>
  <c r="F421" i="1"/>
  <c r="F420" i="1"/>
  <c r="F419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5" i="1"/>
  <c r="F436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2" i="1"/>
  <c r="F453" i="1"/>
  <c r="F455" i="1"/>
  <c r="F456" i="1"/>
  <c r="F457" i="1"/>
  <c r="F458" i="1"/>
  <c r="F460" i="1"/>
  <c r="F459" i="1"/>
  <c r="F461" i="1"/>
  <c r="F462" i="1"/>
  <c r="F463" i="1"/>
  <c r="F464" i="1"/>
  <c r="F465" i="1"/>
  <c r="F466" i="1"/>
  <c r="F467" i="1"/>
  <c r="F468" i="1"/>
  <c r="F470" i="1"/>
  <c r="F469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1" i="1"/>
  <c r="F492" i="1"/>
  <c r="F494" i="1"/>
  <c r="F495" i="1"/>
  <c r="F496" i="1"/>
  <c r="F497" i="1"/>
  <c r="F498" i="1"/>
  <c r="F499" i="1"/>
  <c r="F500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8" i="1"/>
  <c r="F529" i="1"/>
  <c r="F530" i="1"/>
  <c r="F531" i="1"/>
  <c r="F532" i="1"/>
  <c r="F533" i="1"/>
  <c r="F534" i="1"/>
  <c r="F536" i="1"/>
  <c r="F535" i="1"/>
  <c r="F538" i="1"/>
  <c r="F537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6" i="1"/>
  <c r="F585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8" i="1"/>
  <c r="F617" i="1"/>
  <c r="F619" i="1"/>
  <c r="F620" i="1"/>
  <c r="F621" i="1"/>
  <c r="F622" i="1"/>
  <c r="F624" i="1"/>
  <c r="F623" i="1"/>
  <c r="F625" i="1"/>
  <c r="F626" i="1"/>
  <c r="F628" i="1"/>
  <c r="F627" i="1"/>
  <c r="F629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2" i="1"/>
  <c r="F651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5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20" i="1"/>
  <c r="F821" i="1"/>
  <c r="F822" i="1"/>
  <c r="F823" i="1"/>
  <c r="F824" i="1"/>
  <c r="F826" i="1"/>
  <c r="F827" i="1"/>
  <c r="F828" i="1"/>
  <c r="F829" i="1"/>
  <c r="F830" i="1"/>
  <c r="F831" i="1"/>
  <c r="F832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8" i="1"/>
  <c r="F849" i="1"/>
  <c r="F850" i="1"/>
  <c r="F852" i="1"/>
  <c r="F853" i="1"/>
  <c r="F854" i="1"/>
  <c r="F857" i="1"/>
  <c r="F858" i="1"/>
  <c r="F859" i="1"/>
  <c r="F860" i="1"/>
  <c r="F861" i="1"/>
  <c r="F862" i="1"/>
  <c r="F864" i="1"/>
  <c r="F865" i="1"/>
  <c r="F866" i="1"/>
  <c r="F867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6" i="1"/>
  <c r="F917" i="1"/>
  <c r="F918" i="1"/>
  <c r="F919" i="1"/>
  <c r="F920" i="1"/>
  <c r="F921" i="1"/>
  <c r="F924" i="1"/>
  <c r="F925" i="1"/>
  <c r="F927" i="1"/>
  <c r="F928" i="1"/>
  <c r="F929" i="1"/>
  <c r="F930" i="1"/>
  <c r="F931" i="1"/>
  <c r="F932" i="1"/>
  <c r="F935" i="1"/>
  <c r="F936" i="1"/>
  <c r="F937" i="1"/>
  <c r="F938" i="1"/>
  <c r="F939" i="1"/>
  <c r="F940" i="1"/>
  <c r="F941" i="1"/>
  <c r="F942" i="1"/>
  <c r="F947" i="1"/>
  <c r="F948" i="1"/>
  <c r="F949" i="1"/>
  <c r="F950" i="1"/>
  <c r="F951" i="1"/>
  <c r="F952" i="1"/>
  <c r="F953" i="1"/>
  <c r="F954" i="1"/>
  <c r="F955" i="1"/>
  <c r="F957" i="1"/>
  <c r="F959" i="1"/>
  <c r="F960" i="1"/>
  <c r="F961" i="1"/>
  <c r="F962" i="1"/>
  <c r="F963" i="1"/>
  <c r="F964" i="1"/>
  <c r="F965" i="1"/>
  <c r="F966" i="1"/>
  <c r="F967" i="1"/>
  <c r="F968" i="1"/>
  <c r="F972" i="1"/>
  <c r="F973" i="1"/>
  <c r="F974" i="1"/>
  <c r="F976" i="1"/>
  <c r="F977" i="1"/>
  <c r="F978" i="1"/>
  <c r="F979" i="1"/>
  <c r="F982" i="1"/>
  <c r="F984" i="1"/>
  <c r="F986" i="1"/>
  <c r="F987" i="1"/>
  <c r="F988" i="1"/>
  <c r="F989" i="1"/>
  <c r="F990" i="1"/>
  <c r="F992" i="1"/>
  <c r="F994" i="1"/>
  <c r="F995" i="1"/>
  <c r="F997" i="1"/>
  <c r="F998" i="1"/>
  <c r="F1000" i="1"/>
  <c r="F1002" i="1"/>
  <c r="F1003" i="1"/>
  <c r="F1004" i="1"/>
  <c r="F1008" i="1"/>
  <c r="F1009" i="1"/>
  <c r="F1010" i="1"/>
  <c r="F1011" i="1"/>
  <c r="F1012" i="1"/>
  <c r="F1013" i="1"/>
  <c r="F1014" i="1"/>
  <c r="F1016" i="1"/>
  <c r="F1017" i="1"/>
  <c r="F1018" i="1"/>
  <c r="F1019" i="1"/>
  <c r="F1023" i="1"/>
  <c r="F1024" i="1"/>
  <c r="F1027" i="1"/>
  <c r="F1028" i="1"/>
  <c r="F1029" i="1"/>
  <c r="F1030" i="1"/>
  <c r="F1031" i="1"/>
  <c r="F1032" i="1"/>
  <c r="F1041" i="1"/>
  <c r="F1042" i="1"/>
  <c r="F1044" i="1"/>
  <c r="F1045" i="1"/>
  <c r="F1046" i="1"/>
  <c r="F1051" i="1"/>
  <c r="F1052" i="1"/>
  <c r="F1053" i="1"/>
  <c r="F1054" i="1"/>
  <c r="F1056" i="1"/>
  <c r="F1057" i="1"/>
  <c r="F1058" i="1"/>
  <c r="F1060" i="1"/>
  <c r="F1062" i="1"/>
  <c r="F1066" i="1"/>
  <c r="F1067" i="1"/>
  <c r="F1069" i="1"/>
  <c r="F1075" i="1"/>
  <c r="F1083" i="1"/>
  <c r="F1086" i="1"/>
  <c r="F1107" i="1"/>
</calcChain>
</file>

<file path=xl/sharedStrings.xml><?xml version="1.0" encoding="utf-8"?>
<sst xmlns="http://schemas.openxmlformats.org/spreadsheetml/2006/main" count="11591" uniqueCount="3360">
  <si>
    <t>日付</t>
  </si>
  <si>
    <t>活動区分</t>
  </si>
  <si>
    <t>ｱｸﾃｨﾋﾞﾃｨ</t>
  </si>
  <si>
    <t>タイトル</t>
  </si>
  <si>
    <t>記録
リンク</t>
  </si>
  <si>
    <t>GPSログ</t>
  </si>
  <si>
    <t>主な訪問地</t>
  </si>
  <si>
    <t>都道府県</t>
  </si>
  <si>
    <t>補足</t>
  </si>
  <si>
    <t>距離
[km]</t>
  </si>
  <si>
    <t>獲得標高 [m]</t>
  </si>
  <si>
    <t>走行・歩行
時間</t>
  </si>
  <si>
    <t>車種</t>
  </si>
  <si>
    <t>メーカー</t>
  </si>
  <si>
    <t>モデル</t>
  </si>
  <si>
    <t>🚲</t>
  </si>
  <si>
    <t>サイクリング</t>
  </si>
  <si>
    <t>多摩川</t>
  </si>
  <si>
    <t>阿蘇神社</t>
  </si>
  <si>
    <t>MTB</t>
  </si>
  <si>
    <t>GARY FISHER</t>
  </si>
  <si>
    <t>Ziggurat</t>
  </si>
  <si>
    <t>ロード</t>
  </si>
  <si>
    <t>LOOK</t>
  </si>
  <si>
    <t>KG461</t>
  </si>
  <si>
    <t>都内、多摩川</t>
  </si>
  <si>
    <t>皇居、羽田の鳥居</t>
  </si>
  <si>
    <t>奥多摩周遊道路</t>
  </si>
  <si>
    <t>都民の森[1000m]、奥多摩周遊道路</t>
  </si>
  <si>
    <t>奥多摩周遊</t>
  </si>
  <si>
    <t>都民の森[1000m]、風張峠[1143m]</t>
  </si>
  <si>
    <t>島根</t>
  </si>
  <si>
    <t>都内</t>
  </si>
  <si>
    <t>皇居、秋葉原</t>
  </si>
  <si>
    <t>福岡</t>
  </si>
  <si>
    <t>奥多摩駅、多摩川</t>
  </si>
  <si>
    <t>奥多摩駅、阿蘇神社</t>
  </si>
  <si>
    <t>野川、多摩川</t>
  </si>
  <si>
    <t>野川、深大寺、多摩川</t>
  </si>
  <si>
    <t>山口</t>
  </si>
  <si>
    <t>🌸</t>
  </si>
  <si>
    <t>多摩散策</t>
  </si>
  <si>
    <t>殿ヶ谷戸庭園、国分寺跡、貫井神社、滄浪泉園、野川の桜</t>
  </si>
  <si>
    <t>石和から柳沢峠経由で多摩</t>
  </si>
  <si>
    <t>柳沢峠[1472m]、奥多摩湖</t>
  </si>
  <si>
    <t>靖国神社、ゼロ戦</t>
  </si>
  <si>
    <t>島根、山口</t>
  </si>
  <si>
    <t>🌷</t>
  </si>
  <si>
    <t>松本</t>
  </si>
  <si>
    <t>松本城</t>
  </si>
  <si>
    <t>甲州街道-松本から石和</t>
  </si>
  <si>
    <t>甲州街道</t>
  </si>
  <si>
    <t>京都-新幹線輪行</t>
  </si>
  <si>
    <t>北野天満宮、金閣寺、広隆寺</t>
  </si>
  <si>
    <t>琵琶湖-京都から米原</t>
  </si>
  <si>
    <t>琵琶湖、彦根城</t>
  </si>
  <si>
    <t>上田砥石城＆真田氏館</t>
  </si>
  <si>
    <t>上田砥石城、真田氏館</t>
  </si>
  <si>
    <t>真田散策</t>
  </si>
  <si>
    <t>松代城、真田邸、象山神社、川中島古戦場</t>
  </si>
  <si>
    <t>丸子橋</t>
  </si>
  <si>
    <t>第二京浜</t>
  </si>
  <si>
    <t>小菅村</t>
  </si>
  <si>
    <t>小菅村、奥多摩湖、多摩川</t>
  </si>
  <si>
    <t>塩山から大弛峠</t>
  </si>
  <si>
    <t>大弛峠[2360m]</t>
  </si>
  <si>
    <t>国分寺散策</t>
  </si>
  <si>
    <t>お鷹の道、国分寺跡、お鷹の道、貫井神社、滄浪泉園</t>
  </si>
  <si>
    <t>奥多摩湖、多摩川</t>
  </si>
  <si>
    <t>都民の森[1000m]、奥多摩周遊道路、阿蘇神社、多摩川</t>
  </si>
  <si>
    <t>白樺湖、美ヶ原</t>
  </si>
  <si>
    <t>白樺湖、美ヶ原[1966m]</t>
  </si>
  <si>
    <t>江の島、阿蘇神社</t>
  </si>
  <si>
    <t>境川、江の島、阿蘇神社</t>
  </si>
  <si>
    <t>浅川、相模湖</t>
  </si>
  <si>
    <t>浅川、高尾山口、相模湖、大垂水峠[392m]</t>
  </si>
  <si>
    <t>杉並区郷土博物館、和田堀公園</t>
  </si>
  <si>
    <t>清里から多摩</t>
  </si>
  <si>
    <t>八ヶ岳高原ﾗｲﾝ[1486m]、ぶどう峠[1485m]、士賀坂峠[674m]、山伏峠[621m]</t>
  </si>
  <si>
    <t>横田基地フレンドシップデー</t>
  </si>
  <si>
    <t>横田基地 航空機展示</t>
  </si>
  <si>
    <t>日野／土方歳三資料館＆高幡不動</t>
  </si>
  <si>
    <t>土方歳三資料館、高幡不動</t>
  </si>
  <si>
    <t>山中湖方面</t>
  </si>
  <si>
    <t>道志、山伏峠[1086m]、山中湖、忍野八海、河口湖</t>
  </si>
  <si>
    <t>丹波山村、今川峠</t>
  </si>
  <si>
    <t>奥多摩湖、丹波山村、今川峠[947m]、多摩川</t>
  </si>
  <si>
    <t>八ヶ岳（麦草峠）</t>
  </si>
  <si>
    <t>茅野駅、麦草峠[2127m]、野辺山、甲府</t>
  </si>
  <si>
    <t>八ヶ岳</t>
  </si>
  <si>
    <t>谷保</t>
  </si>
  <si>
    <t>谷保散策、矢川</t>
  </si>
  <si>
    <t>戸隠</t>
  </si>
  <si>
    <t>鏡池、大望峠展望台[1055m]、嶺方峠[1092m]</t>
  </si>
  <si>
    <t>関宿、江戸川</t>
  </si>
  <si>
    <t>岩槻城跡、関宿城、江戸川</t>
  </si>
  <si>
    <t>入間川、荒川</t>
  </si>
  <si>
    <t>入間川、荒川、浅草、秋葉原</t>
  </si>
  <si>
    <t>羽田</t>
  </si>
  <si>
    <t>都民の森、奥多摩周遊道路、阿蘇神社、多摩川</t>
  </si>
  <si>
    <t>宇部探訪</t>
  </si>
  <si>
    <t>宇部市内</t>
  </si>
  <si>
    <t>クロス</t>
  </si>
  <si>
    <t>TREK</t>
  </si>
  <si>
    <t>多摩川、都内</t>
  </si>
  <si>
    <t>多摩川、皇居</t>
  </si>
  <si>
    <t>行田市-忍城</t>
  </si>
  <si>
    <t>荒川、さきたま古墳公園、忍城</t>
  </si>
  <si>
    <t>鶴見川、横浜</t>
  </si>
  <si>
    <t>鶴見川、横浜みなとみらい</t>
  </si>
  <si>
    <t>和田峠</t>
  </si>
  <si>
    <t>多摩川、浅川、和田峠[686m]、阿蘇神社</t>
  </si>
  <si>
    <t>和田峠[686m]</t>
  </si>
  <si>
    <t>都民の森 [約1000m]</t>
  </si>
  <si>
    <t>和田峠、栃谷林道、大垂水峠</t>
  </si>
  <si>
    <t>和田峠[686m]、明王峠[640m]、大垂水峠[392m]</t>
  </si>
  <si>
    <t>和田峠[686m]、明王峠[640m]、藤野、大垂水峠[392m]</t>
  </si>
  <si>
    <t>野川、桜通り散策</t>
  </si>
  <si>
    <t>武蔵国分寺跡、野川、桜通り</t>
  </si>
  <si>
    <t>野川</t>
  </si>
  <si>
    <t>野川の桜</t>
  </si>
  <si>
    <t>多摩川、阿蘇神社</t>
  </si>
  <si>
    <t>多摩川、阿蘇神社、根がらみ前水田</t>
  </si>
  <si>
    <t>阿蘇山</t>
  </si>
  <si>
    <t>阿蘇山[1276m]、武蔵塚</t>
  </si>
  <si>
    <t>天草＆霊巌洞</t>
  </si>
  <si>
    <t>天草、霊巌洞[272m]</t>
  </si>
  <si>
    <t>秋月から下関</t>
  </si>
  <si>
    <t>八丁越え[520m]、門司港、関門トンネル人道、下関</t>
  </si>
  <si>
    <t>秋吉台</t>
  </si>
  <si>
    <t>秋吉台カルストロード</t>
  </si>
  <si>
    <t>レース</t>
  </si>
  <si>
    <t>第3回 Mt.富士ヒルクライム</t>
  </si>
  <si>
    <t>富士スバルライン</t>
  </si>
  <si>
    <t>大ダワ峠、風張峠</t>
  </si>
  <si>
    <t>大ダワ峠[994m]、風張峠[1143m]</t>
  </si>
  <si>
    <t>KG585</t>
  </si>
  <si>
    <t>名栗</t>
  </si>
  <si>
    <t>長野</t>
  </si>
  <si>
    <t>和田峠、入山峠</t>
  </si>
  <si>
    <t>和田峠[686m]、入山峠[592m]</t>
  </si>
  <si>
    <t>航空祭</t>
  </si>
  <si>
    <t>北秋川</t>
  </si>
  <si>
    <t>ちとせ屋</t>
  </si>
  <si>
    <t>浅川、和田峠[686m]</t>
  </si>
  <si>
    <t>入間川、川越散策</t>
  </si>
  <si>
    <t>入間川、川越散策、荒川</t>
  </si>
  <si>
    <t>入間川、榎本牧場、荒川</t>
  </si>
  <si>
    <t>鶴峠</t>
  </si>
  <si>
    <t>甲武トンネル[608m]、田和峠[610m]、鶴峠[876m]</t>
  </si>
  <si>
    <t>代々木公園、皇居、秋葉原浅草</t>
  </si>
  <si>
    <t>イベント</t>
  </si>
  <si>
    <t>ツール・ド・ちば2006（1日目）</t>
  </si>
  <si>
    <t>房総半島</t>
  </si>
  <si>
    <t>ツール・ド・ちば2006（2日目）</t>
  </si>
  <si>
    <t>ツール・ド・ちば2006（3日目）</t>
  </si>
  <si>
    <t>入間川、川越-菓子屋横丁、荒川</t>
  </si>
  <si>
    <t>ジャパンカップ2006観戦</t>
  </si>
  <si>
    <t>宇都宮</t>
  </si>
  <si>
    <t>富士チャレンジ200</t>
  </si>
  <si>
    <t>富士スピードウェイ</t>
  </si>
  <si>
    <t>広河原逆川林道＆奥武蔵ｸﾞﾘ-ﾝﾗｲﾝ</t>
  </si>
  <si>
    <t>有間峠[1142m]、刈場坂峠[818m]</t>
  </si>
  <si>
    <t>幕張サイクルモード自走</t>
  </si>
  <si>
    <t>幕張メッセ</t>
  </si>
  <si>
    <t>秋川</t>
  </si>
  <si>
    <t>JCRCツール・ド・ジャパン西湖ステージ</t>
  </si>
  <si>
    <t>西湖</t>
  </si>
  <si>
    <t>龍勢ヒルクライム2006</t>
  </si>
  <si>
    <t>埼玉県 秩父 吉田地区</t>
  </si>
  <si>
    <t>小沢峠</t>
  </si>
  <si>
    <t>小沢峠[342m]</t>
  </si>
  <si>
    <t>尾根幹</t>
  </si>
  <si>
    <t>いろは坂、尾根幹、尾根緑道(戦車道)</t>
  </si>
  <si>
    <t>有間ダム</t>
  </si>
  <si>
    <t>秋穂</t>
  </si>
  <si>
    <t>きららドーム、旧秋穂町、新山口駅</t>
  </si>
  <si>
    <t>山口宇部空港</t>
  </si>
  <si>
    <t>宇部港</t>
  </si>
  <si>
    <t>竜王山</t>
  </si>
  <si>
    <t>竜王山[139m]、宇部市内</t>
  </si>
  <si>
    <t>いろは坂、桜ヶ丘公園、尾根緑道、その他</t>
  </si>
  <si>
    <t>調布</t>
  </si>
  <si>
    <t>調布飛行場</t>
  </si>
  <si>
    <t>越生</t>
  </si>
  <si>
    <t>https://connect.garmin.com/app/activity/24047164461</t>
  </si>
  <si>
    <t>パン工房 シロクマ、醤遊王国</t>
  </si>
  <si>
    <t>荒川、入間川</t>
  </si>
  <si>
    <t>荒川、ホンダエアポート、入間川</t>
  </si>
  <si>
    <t>いろは坂、桜ヶ丘公園、尾根緑道、百草園</t>
  </si>
  <si>
    <t>多摩湖</t>
  </si>
  <si>
    <t>多摩湖自転車道、多摩湖</t>
  </si>
  <si>
    <t>荒川、入間川、川越公園 花いち</t>
  </si>
  <si>
    <t>新宿副都心、秋葉原</t>
  </si>
  <si>
    <t>DE ROSA</t>
  </si>
  <si>
    <t>TEAM</t>
  </si>
  <si>
    <t>山サイ</t>
  </si>
  <si>
    <t>裏周遊、浅間尾根</t>
  </si>
  <si>
    <t>風張林道、浅間尾根</t>
  </si>
  <si>
    <t>山伏峠、奥武蔵グリーンライン</t>
  </si>
  <si>
    <t>https://connect.garmin.com/app/activity/24047009221</t>
  </si>
  <si>
    <t>小沢峠[342m]、山伏峠[621m]、奥武蔵グリーンライン</t>
  </si>
  <si>
    <t>国分寺</t>
  </si>
  <si>
    <t>お鷹の道、西国分寺</t>
  </si>
  <si>
    <t>尾根幹道路、多摩川、調布飛行場</t>
  </si>
  <si>
    <t>和田峠[686m]、ふろッぴィ</t>
  </si>
  <si>
    <t>ひたちなかエンデューロ</t>
  </si>
  <si>
    <t>安全運転中央研修所</t>
  </si>
  <si>
    <t>多摩</t>
  </si>
  <si>
    <t>井の頭公園、野川、深大寺、多摩川、阿蘇神社</t>
  </si>
  <si>
    <t>奥多摩湖、奥多摩周遊道路、都民の森[1000m]</t>
  </si>
  <si>
    <t>野川、調布飛行場、深大寺、多摩川</t>
  </si>
  <si>
    <t>JCRCツール・ド・ジャパン川越ステージ</t>
  </si>
  <si>
    <t>川越水上公園</t>
  </si>
  <si>
    <t>フラットバーロードで山岳</t>
  </si>
  <si>
    <t>戸沢峠[238m]、和田峠[686m]、明王峠[640m]、大垂水峠[392m]</t>
  </si>
  <si>
    <t>柳沢峠ロングラン</t>
  </si>
  <si>
    <t>柳沢峠[1472m]、鶴峠[876m]、田和峠[670m]、大垂水峠[392m]</t>
  </si>
  <si>
    <t>奥多摩湖</t>
  </si>
  <si>
    <t>奥多摩湖、羽村の根搦み前水田、多摩川</t>
  </si>
  <si>
    <t>山伏峠、正丸峠、虚空蔵峠</t>
  </si>
  <si>
    <t>山伏峠[621m]、正丸峠[640m]、虚空蔵峠[727m]</t>
  </si>
  <si>
    <t>東京</t>
  </si>
  <si>
    <t>グラベル</t>
  </si>
  <si>
    <t>六道山公園周辺</t>
  </si>
  <si>
    <t>さいたま緑の森博物館、六道山公園、里山民家</t>
  </si>
  <si>
    <t>dioss富士見キャンプ(1日目)</t>
  </si>
  <si>
    <t>自走で富士見(国道20号線)</t>
  </si>
  <si>
    <t>dioss富士見キャンプ(2日目)</t>
  </si>
  <si>
    <t>すずらん峠[1839m]、白樺湖、CANADIAN FARM、入笠山[1850m]</t>
  </si>
  <si>
    <t>dioss富士見キャンプ(3日目)</t>
  </si>
  <si>
    <t>富士見パノラマリゾート ダウンヒルコース</t>
  </si>
  <si>
    <t>dioss富士見キャンプ(4日目)</t>
  </si>
  <si>
    <t>富士見パノラマリゾート 山頂周回コース 金沢林道</t>
  </si>
  <si>
    <t>道志</t>
  </si>
  <si>
    <t>道志道、山中湖</t>
  </si>
  <si>
    <t>糸魚川ファストラン</t>
  </si>
  <si>
    <t>https://connect.garmin.com/app/activity/24047443469</t>
  </si>
  <si>
    <t>柳沢峠、奥多摩周遊道路</t>
  </si>
  <si>
    <t>柳沢峠[1472m]、奥多摩周遊道路、都民の森[1000m]</t>
  </si>
  <si>
    <t>第4回 Mt.富士ヒルクライム</t>
  </si>
  <si>
    <t>大弛峠越え</t>
  </si>
  <si>
    <t>https://connect.garmin.com/app/activity/24047657716</t>
  </si>
  <si>
    <t>塩山駅、大弛峠[2360m]、三国峠[1828m]、中津川林道、西武秩父駅</t>
  </si>
  <si>
    <t>大弛峠</t>
  </si>
  <si>
    <t>秋葉原</t>
  </si>
  <si>
    <t>🏔🚲</t>
  </si>
  <si>
    <t>陣馬山から小仏バス停へ</t>
  </si>
  <si>
    <t>和田峠[686m]、陣馬山[857m]、景信山[727m]</t>
  </si>
  <si>
    <t>埼玉、東京</t>
  </si>
  <si>
    <t>昭和記念公園</t>
  </si>
  <si>
    <t>多摩川、国営昭和記念公園</t>
  </si>
  <si>
    <t>陣馬山から小仏峠へ</t>
  </si>
  <si>
    <t>柳沢峠</t>
  </si>
  <si>
    <t>柳沢峠[1472m]、原茂ワイン、笹子峠[1040m]、大垂水峠[392m]</t>
  </si>
  <si>
    <t>シマノバイカーズフェスティバル</t>
  </si>
  <si>
    <t>富士見パノラマ</t>
  </si>
  <si>
    <t>成木、名栗</t>
  </si>
  <si>
    <t>https://connect.garmin.com/app/activity/24047853268</t>
  </si>
  <si>
    <t>東京ヒルクライムコース、小沢峠[342m]、山伏峠[621m]、正丸峠[640m]、天目指峠[480m]</t>
  </si>
  <si>
    <t>秋川、いっすいのこんにゃく</t>
  </si>
  <si>
    <t>東京HCコース[670m]、山伏峠[621m]、天目指峠[480m]</t>
  </si>
  <si>
    <t>松姫峠[1250m]</t>
  </si>
  <si>
    <t>原村合宿</t>
  </si>
  <si>
    <t>諏訪大社上社、山佐屋、諏訪湖、高島城、諏訪湖、SUWAガラスの里</t>
  </si>
  <si>
    <t>－</t>
  </si>
  <si>
    <t>原村</t>
  </si>
  <si>
    <t>レンタル</t>
  </si>
  <si>
    <t>https://connect.garmin.com/app/activity/24109607695</t>
  </si>
  <si>
    <t>大弛峠[2360m]、夢の庭園</t>
  </si>
  <si>
    <t>東京ヒルクライム NARIKIステージ</t>
  </si>
  <si>
    <t>成木</t>
  </si>
  <si>
    <t>埼玉</t>
  </si>
  <si>
    <t>マウンテンサイクリングin乗鞍</t>
  </si>
  <si>
    <t>https://connect.garmin.com/app/activity/24109561243</t>
  </si>
  <si>
    <t>乗鞍エコーライン</t>
  </si>
  <si>
    <t>乗鞍</t>
  </si>
  <si>
    <t>江の島</t>
  </si>
  <si>
    <t>https://connect.garmin.com/app/activity/24048069466</t>
  </si>
  <si>
    <t>境川、飯田牧場、引地川、江の島</t>
  </si>
  <si>
    <t>大弛峠[2360m]、花かげの湯</t>
  </si>
  <si>
    <t>静岡</t>
  </si>
  <si>
    <t>羽村のかかし、多摩川</t>
  </si>
  <si>
    <t>羽村の根搦み前水田、多摩川</t>
  </si>
  <si>
    <t>SDA王滝</t>
  </si>
  <si>
    <t>王滝村　コース変更</t>
  </si>
  <si>
    <t>茅野から山岳コースで多摩まで</t>
  </si>
  <si>
    <t>https://connect.garmin.com/app/activity/24048174912</t>
  </si>
  <si>
    <t>麦草峠[2127m]、十石峠[1356m]、志賀坂トンネル[780m]</t>
  </si>
  <si>
    <t>富士周辺</t>
  </si>
  <si>
    <t>籠坂峠[1104m]、本栖湖、富士川、南アルプス市</t>
  </si>
  <si>
    <t>高遠</t>
  </si>
  <si>
    <t>https://connect.garmin.com/app/activity/24048311847</t>
  </si>
  <si>
    <t>黒河内林道、高遠、千代田湖、金沢峠[1315m]、芝平峠[1450m]</t>
  </si>
  <si>
    <t>SPECIALIZED</t>
  </si>
  <si>
    <t>Epic Marathon</t>
  </si>
  <si>
    <t>多摩湖、狭山湖周辺散策</t>
  </si>
  <si>
    <t>多摩湖、慶性門、狭山湖</t>
  </si>
  <si>
    <t>関宿</t>
  </si>
  <si>
    <t>https://connect.garmin.com/app/activity/24048407479</t>
  </si>
  <si>
    <t>関宿歴史資料館</t>
  </si>
  <si>
    <t>https://connect.garmin.com/app/activity/24109424927</t>
  </si>
  <si>
    <t>赤坂豊川稲荷、月島西仲通り商店街、皇居、アメ横、宝田恵比寿神祭</t>
  </si>
  <si>
    <t>深大寺</t>
  </si>
  <si>
    <t>https://connect.garmin.com/app/activity/24109475237</t>
  </si>
  <si>
    <t>多摩川、登戸/大黒屋、深大寺</t>
  </si>
  <si>
    <t>和泉明店街</t>
  </si>
  <si>
    <t>山梨</t>
  </si>
  <si>
    <t>有間峠</t>
  </si>
  <si>
    <t>https://connect.garmin.com/app/activity/24048543526</t>
  </si>
  <si>
    <t>広河原逆川林道、有間峠[1142m]</t>
  </si>
  <si>
    <t>栃木</t>
  </si>
  <si>
    <t>大菩薩峠</t>
  </si>
  <si>
    <t>https://connect.garmin.com/app/activity/24048605205</t>
  </si>
  <si>
    <t>白糸の滝、大菩薩峠[1897m]、石丸峠[1933m]、牛の寝、松姫峠[1250m]</t>
  </si>
  <si>
    <t>https://connect.garmin.com/app/activity/24048712154</t>
  </si>
  <si>
    <t>秩父</t>
  </si>
  <si>
    <t>https://connect.garmin.com/app/activity/24048774048</t>
  </si>
  <si>
    <t>山伏峠[621m]、秩父、長瀞、入間川、荒川</t>
  </si>
  <si>
    <t>二ツ塚</t>
  </si>
  <si>
    <t>山梨、長野</t>
  </si>
  <si>
    <t>六道周辺散策</t>
  </si>
  <si>
    <t>六道山公園</t>
  </si>
  <si>
    <t>横須賀、浦賀</t>
  </si>
  <si>
    <t>https://connect.garmin.com/app/activity/24108628265</t>
  </si>
  <si>
    <t>三笠公園、観音崎、浦賀、ペリー公園</t>
  </si>
  <si>
    <t>https://connect.garmin.com/app/activity/24108696188</t>
  </si>
  <si>
    <t>川越"花いち"グルメ・ラン</t>
  </si>
  <si>
    <t>https://connect.garmin.com/app/activity/24108734458</t>
  </si>
  <si>
    <t>入間川、花いち</t>
  </si>
  <si>
    <t>小径車</t>
  </si>
  <si>
    <t>r&amp;m</t>
  </si>
  <si>
    <t>BD-1</t>
  </si>
  <si>
    <t>豪徳寺、世田谷城址、松陰神社、西郷山公園、乃木神社</t>
  </si>
  <si>
    <t>鎌倉散策</t>
  </si>
  <si>
    <t>https://connect.garmin.com/app/activity/24108764767</t>
  </si>
  <si>
    <t>円覚寺、明月院、建長寺、鶴岡八幡宮、杉本寺、宝戒寺、妙法寺</t>
  </si>
  <si>
    <t>奥武蔵坂ザンマイ</t>
  </si>
  <si>
    <t>https://connect.garmin.com/app/activity/24048954401</t>
  </si>
  <si>
    <t>子の権現、天目指峠[480m]、山伏峠[621m]、奥武蔵グリーンライン</t>
  </si>
  <si>
    <t>玉川上水、護国寺、巣鴨地蔵通商店街、谷中銀座、合羽橋道具街</t>
  </si>
  <si>
    <t>多摩湖自転車道、井の頭公園の桜</t>
  </si>
  <si>
    <t>多摩湖自転車道、井の頭公園</t>
  </si>
  <si>
    <t>野川、多摩川の桜</t>
  </si>
  <si>
    <t>黒鐘公園、お鷹の道、野川、深大寺、多摩川</t>
  </si>
  <si>
    <t>皇居周辺(千鳥ヶ淵公園)、増上寺、浜離宮恩賜庭園</t>
  </si>
  <si>
    <t>都民の森[1000m]</t>
  </si>
  <si>
    <t>桜を求めて尾根緑道・羽村・野川へ</t>
  </si>
  <si>
    <t>尾根緑道、羽村堰、阿蘇神社、羽村の根搦み前水田、野川</t>
  </si>
  <si>
    <t>子の権現</t>
  </si>
  <si>
    <t>子の権現、天目指峠[480m]</t>
  </si>
  <si>
    <t>ツール・ド・草津</t>
  </si>
  <si>
    <t>https://connect.garmin.com/app/activity/24049043673</t>
  </si>
  <si>
    <t>国道292号（志賀草津道路）</t>
  </si>
  <si>
    <t>伊豆一周</t>
  </si>
  <si>
    <t>https://connect.garmin.com/app/activity/24049068270</t>
  </si>
  <si>
    <t>道の駅「伊豆のへそ」、亀石峠[451m]、下田</t>
  </si>
  <si>
    <t>伊豆イチ</t>
  </si>
  <si>
    <t>筑波自転車道</t>
  </si>
  <si>
    <t>https://connect.garmin.com/app/activity/24049194115</t>
  </si>
  <si>
    <t>霞ヶ浦</t>
  </si>
  <si>
    <t>https://connect.garmin.com/app/activity/24049249573</t>
  </si>
  <si>
    <t>木曽路</t>
  </si>
  <si>
    <t>https://connect.garmin.com/app/activity/24049318961</t>
  </si>
  <si>
    <t>馬籠、妻籠、恋路峠[670m]</t>
  </si>
  <si>
    <t>黒河内林道</t>
  </si>
  <si>
    <t>https://connect.garmin.com/app/activity/24049368728</t>
  </si>
  <si>
    <t>黒河内林道、高遠</t>
  </si>
  <si>
    <t>千葉</t>
  </si>
  <si>
    <t>都民の森[1000m]、奥多摩周遊道路、小菅村</t>
  </si>
  <si>
    <t>神奈川</t>
  </si>
  <si>
    <t>第5回 Mt.富士ヒルクライム</t>
  </si>
  <si>
    <t>https://connect.garmin.com/app/activity/24049460306</t>
  </si>
  <si>
    <t>https://connect.garmin.com/app/activity/24049497878</t>
  </si>
  <si>
    <t>都民の森の手前</t>
  </si>
  <si>
    <t>皇居周辺、秋葉原</t>
  </si>
  <si>
    <t>https://connect.garmin.com/app/activity/24049561652</t>
  </si>
  <si>
    <t>大望峠展望台[1055m]、嶺方峠[1092m]、鏡池、戸隠神社奥社</t>
  </si>
  <si>
    <t>https://connect.garmin.com/app/activity/24049591068</t>
  </si>
  <si>
    <t>月島西仲通り商店街、豊海、越中島公園</t>
  </si>
  <si>
    <t>https://connect.garmin.com/app/activity/24049645040</t>
  </si>
  <si>
    <t>築地、若洲海浜公園、お台場</t>
  </si>
  <si>
    <t>https://connect.garmin.com/app/activity/24049666304</t>
  </si>
  <si>
    <t>乗鞍エコーライン、畳平[2702m]</t>
  </si>
  <si>
    <t>大名栗林道</t>
  </si>
  <si>
    <t>https://connect.garmin.com/app/activity/24049712428</t>
  </si>
  <si>
    <t>王滝村</t>
  </si>
  <si>
    <t>https://connect.garmin.com/app/activity/24049812444</t>
  </si>
  <si>
    <t>道の駅「道の駅 花かげの郷 まきおか」、大弛峠[2360m]、信州峠[1470m]、本谷川渓谷</t>
  </si>
  <si>
    <t>長瀞</t>
  </si>
  <si>
    <t>https://connect.garmin.com/app/activity/24049875626</t>
  </si>
  <si>
    <t>山伏峠[621m]</t>
  </si>
  <si>
    <t>きのこセンター</t>
  </si>
  <si>
    <t>https://connect.garmin.com/app/activity/24049921338</t>
  </si>
  <si>
    <t>きのこセンター、風張峠[1143m]、羽村の根搦み前水田</t>
  </si>
  <si>
    <t>https://connect.garmin.com/app/activity/24049972075</t>
  </si>
  <si>
    <t>等々力渓谷、洗足池、武蔵小山、戸越銀座、城南島海浜公園</t>
  </si>
  <si>
    <t>https://connect.garmin.com/app/activity/24050049632</t>
  </si>
  <si>
    <t>寅さん記念館、帝釈天、亀有、葛西城、両国</t>
  </si>
  <si>
    <t>https://connect.garmin.com/app/activity/24050093313</t>
  </si>
  <si>
    <t>皇居、東京都水道歴史館、文京区・千代田区・新宿区の資料館</t>
  </si>
  <si>
    <t>ジャパンカップ2008観戦</t>
  </si>
  <si>
    <t>大菩薩</t>
  </si>
  <si>
    <t>大菩薩峠[1897m]、石丸峠[1933m]、牛の寝</t>
  </si>
  <si>
    <t>🍁</t>
  </si>
  <si>
    <t>https://connect.garmin.com/app/activity/24050198218</t>
  </si>
  <si>
    <t>清澄庭園、霊巌寺、深川江戸資料館、のらくろ資料館、皇居</t>
  </si>
  <si>
    <t>https://connect.garmin.com/app/activity/24050257188</t>
  </si>
  <si>
    <t>皇居</t>
  </si>
  <si>
    <t>https://connect.garmin.com/app/activity/24050292381</t>
  </si>
  <si>
    <t>皇居、月島</t>
  </si>
  <si>
    <t>https://connect.garmin.com/app/activity/24050351285</t>
  </si>
  <si>
    <t>GP-mistral～シクロレース～</t>
  </si>
  <si>
    <t>吉見総合運動公園</t>
  </si>
  <si>
    <t>桜山周辺探検</t>
  </si>
  <si>
    <t>https://connect.garmin.com/app/activity/24050407789</t>
  </si>
  <si>
    <t>入間・桜山</t>
  </si>
  <si>
    <t>https://connect.garmin.com/app/activity/24051106654</t>
  </si>
  <si>
    <t>小沢峠[342m]、有間ダム、無地</t>
  </si>
  <si>
    <t>小沢峠[342m]、有間ダム</t>
  </si>
  <si>
    <t>南伊豆の桜</t>
  </si>
  <si>
    <t>https://connect.garmin.com/app/activity/24055628812</t>
  </si>
  <si>
    <t>弓ヶ浜、下賀茂の桜祭り</t>
  </si>
  <si>
    <t>https://connect.garmin.com/app/activity/24055652487</t>
  </si>
  <si>
    <t>道の駅「伊豆のへそ」、亀石峠[451m]</t>
  </si>
  <si>
    <t>大東京綜合卸売センター</t>
  </si>
  <si>
    <t>子の権現、山伏峠</t>
  </si>
  <si>
    <t>https://connect.garmin.com/app/activity/24055705201</t>
  </si>
  <si>
    <t>子の権現、天目指峠[480m]、山伏峠[621m]</t>
  </si>
  <si>
    <t>皇居周辺、汐留、芝公園、湯島天神</t>
  </si>
  <si>
    <t>山伏峠、仁田山峠</t>
  </si>
  <si>
    <t>https://connect.garmin.com/app/activity/24055804155</t>
  </si>
  <si>
    <t>有間ダム、山伏峠[621m]、仁田山峠[401m]</t>
  </si>
  <si>
    <t>https://connect.garmin.com/app/activity/24055815120</t>
  </si>
  <si>
    <t>料金所まで</t>
  </si>
  <si>
    <t>https://connect.garmin.com/app/activity/24055825588</t>
  </si>
  <si>
    <t>山伏峠[621m]、仁田山峠[401m]</t>
  </si>
  <si>
    <t>https://connect.garmin.com/app/activity/24055835637</t>
  </si>
  <si>
    <t>山王峠[250m]、倉掛峠[220m]、子の権現、天目指峠[480m]、山王峠[250m]</t>
  </si>
  <si>
    <t>https://connect.garmin.com/app/activity/24055864762</t>
  </si>
  <si>
    <t>都民の森、風張峠[1143m]、裏周遊</t>
  </si>
  <si>
    <t>井の頭公園と多摩湖自転車道</t>
  </si>
  <si>
    <t>井の頭公園、多摩湖自転車道</t>
  </si>
  <si>
    <t>https://connect.garmin.com/app/activity/24055882114</t>
  </si>
  <si>
    <t>https://connect.garmin.com/app/activity/24055890891</t>
  </si>
  <si>
    <t>井の頭公園の桜と多摩湖自転車道</t>
  </si>
  <si>
    <t>https://connect.garmin.com/app/activity/24055905625</t>
  </si>
  <si>
    <t>都内、川越</t>
  </si>
  <si>
    <t>上野公園、墨田公園、川越</t>
  </si>
  <si>
    <t>お鷹の道＆野川</t>
  </si>
  <si>
    <t>お鷹の道、野川</t>
  </si>
  <si>
    <t>https://connect.garmin.com/app/activity/24055919356</t>
  </si>
  <si>
    <t>https://connect.garmin.com/app/activity/24055928460</t>
  </si>
  <si>
    <t>千鳥ヶ淵公園、目黒川、駒沢オリンピック公園、呑川緑道、野川</t>
  </si>
  <si>
    <t>https://connect.garmin.com/app/activity/24055939511</t>
  </si>
  <si>
    <t>都民の森[1000m]、都民の森ＴＴ</t>
  </si>
  <si>
    <t>https://connect.garmin.com/app/activity/24220904969</t>
  </si>
  <si>
    <t>角島</t>
  </si>
  <si>
    <t>https://connect.garmin.com/app/activity/24055978194</t>
  </si>
  <si>
    <t>別府弁天池、角島、秋吉台</t>
  </si>
  <si>
    <t>萩</t>
  </si>
  <si>
    <t>https://connect.garmin.com/app/activity/24055996547</t>
  </si>
  <si>
    <t>笠山[112m]、松下村塾、東光寺、城下町、萩城跡</t>
  </si>
  <si>
    <t>宇部から津和野</t>
  </si>
  <si>
    <t>https://connect.garmin.com/app/activity/17945873023</t>
  </si>
  <si>
    <t>野谷峠[310m]、津和野、龍福寺、瑠璃光寺、周防大橋</t>
  </si>
  <si>
    <t>下関</t>
  </si>
  <si>
    <t>唐戸</t>
  </si>
  <si>
    <t>第6回 Mt.富士ヒルクライム</t>
  </si>
  <si>
    <t>新宿、六本木、皇居、新宿職安通り</t>
  </si>
  <si>
    <t>お台場のガンダム</t>
  </si>
  <si>
    <t>https://connect.garmin.com/app/activity/24056084432</t>
  </si>
  <si>
    <t>お台場、皇居</t>
  </si>
  <si>
    <t>https://connect.garmin.com/app/activity/24056102272</t>
  </si>
  <si>
    <t>奥秩父一周</t>
  </si>
  <si>
    <t>https://connect.garmin.com/app/activity/24032367257</t>
  </si>
  <si>
    <t>道の駅「両神温泉薬師の湯」、両神山登山口、志賀坂峠[876m]、ぶどう峠[1510m]、十石峠[1351m]、土坂峠[770m]</t>
  </si>
  <si>
    <t>https://connect.garmin.com/app/activity/24056129735</t>
  </si>
  <si>
    <t>中野、六義園、旧古河庭園、旧岩崎邸庭園、桃園川緑道</t>
  </si>
  <si>
    <t>千葉の埴輪と飛行機</t>
  </si>
  <si>
    <t>https://connect.garmin.com/app/activity/24056141114</t>
  </si>
  <si>
    <t>古墳はにわ博物館、航空科学博物館、国立歴史民族博物館</t>
  </si>
  <si>
    <t>龍岡城と田口峠</t>
  </si>
  <si>
    <t>https://connect.garmin.com/app/activity/24056154452</t>
  </si>
  <si>
    <t>志賀坂峠[876m]、十石峠[1351m]、龍岡城、田口峠[1120m]、塩の沢峠[1060m]</t>
  </si>
  <si>
    <t>東北ツーリング・奥入瀬</t>
  </si>
  <si>
    <t>https://connect.garmin.com/app/activity/24056191250</t>
  </si>
  <si>
    <t>八甲田山手前、奥入瀬、十和田湖、ピラミッド、キリストの墓</t>
  </si>
  <si>
    <t>東北ツーリング・青森の博物館と史跡</t>
  </si>
  <si>
    <t>https://connect.garmin.com/app/activity/24056224580</t>
  </si>
  <si>
    <t>青森港、三内丸山遺跡、浪岡、亀ヶ岡、弘前城</t>
  </si>
  <si>
    <t>東北ツーリング・八幡平</t>
  </si>
  <si>
    <t>https://connect.garmin.com/app/activity/24056247425</t>
  </si>
  <si>
    <t>八幡平、道の駅「石神の丘」、田代平高原(七時雨山荘)</t>
  </si>
  <si>
    <t>東北ツーリング・磐梯吾妻</t>
  </si>
  <si>
    <t>https://connect.garmin.com/app/activity/24056261867</t>
  </si>
  <si>
    <t>磐梯吾妻スカイライン、磐梯吾妻レークライン</t>
  </si>
  <si>
    <t>東村山散策</t>
  </si>
  <si>
    <t>八国山緑地、東村山ふるさと歴史館、六道山[192m]</t>
  </si>
  <si>
    <t>https://connect.garmin.com/app/activity/24056285903</t>
  </si>
  <si>
    <t>秋葉原、妙法寺</t>
  </si>
  <si>
    <t>群馬</t>
  </si>
  <si>
    <t>中野区、板橋区、練馬区</t>
  </si>
  <si>
    <t>https://connect.garmin.com/app/activity/24056306534</t>
  </si>
  <si>
    <t>谷端川緑道、志村城、東京大仏、赤塚城、石神井城</t>
  </si>
  <si>
    <t>クリスタルライン</t>
  </si>
  <si>
    <t>https://connect.garmin.com/app/activity/24056318926</t>
  </si>
  <si>
    <t>高須林道、本谷釜瀬林道、木賊峠[1670m]、乙女高原、柳沢峠[1472m]</t>
  </si>
  <si>
    <t>林道井川雨畑線・途中まで</t>
  </si>
  <si>
    <t>https://connect.garmin.com/app/activity/24056339261</t>
  </si>
  <si>
    <t>林道井川雨畑線</t>
  </si>
  <si>
    <t>幻の林道井川雨畑線＆安倍峠</t>
  </si>
  <si>
    <t>https://yamap.com/activities/37091005</t>
  </si>
  <si>
    <t>林道井川雨畑線、安倍峠[1422m]</t>
  </si>
  <si>
    <t>10:45</t>
  </si>
  <si>
    <t>見沼代用水路、芝川</t>
  </si>
  <si>
    <t>https://connect.garmin.com/app/activity/24056365105</t>
  </si>
  <si>
    <t>大宮公園、見沼代用水路、芝川、新東京タワー</t>
  </si>
  <si>
    <t>世田谷の緑道巡り</t>
  </si>
  <si>
    <t>https://connect.garmin.com/app/activity/24056387035</t>
  </si>
  <si>
    <t>烏山川緑道、蛇崩川緑道、長谷川町子美術館、北沢川緑道</t>
  </si>
  <si>
    <t>https://connect.garmin.com/app/activity/24056405052</t>
  </si>
  <si>
    <t>神宮外苑、十思公園、警察博物館</t>
  </si>
  <si>
    <t>https://connect.garmin.com/app/activity/24056420299</t>
  </si>
  <si>
    <t>多摩川台、立会川、大田区立郷土博物館、レインボーブリッジ</t>
  </si>
  <si>
    <t>https://connect.garmin.com/app/activity/24056432166</t>
  </si>
  <si>
    <t>キャロットタワー、東京駅周辺のアンテナショップ</t>
  </si>
  <si>
    <t>山口県防府市散策</t>
  </si>
  <si>
    <t>飛行機輪行、三田尻埠頭、周防国分寺、防府天満宮、周防国衙跡</t>
  </si>
  <si>
    <t>下関長府城下町</t>
  </si>
  <si>
    <t>唐戸、長府</t>
  </si>
  <si>
    <t>秋吉台、山口市湯田温泉</t>
  </si>
  <si>
    <t>秋吉台、洞春寺、香山公園、湯田温泉</t>
  </si>
  <si>
    <t>新宿のアンテナショップ</t>
  </si>
  <si>
    <t>新宿宮崎館ＫＯＮＮＥ、広島ゆめてらす、国宝土偶展</t>
  </si>
  <si>
    <t>房総のむら、印旛沼</t>
  </si>
  <si>
    <t>https://connect.garmin.com/app/activity/24056579359</t>
  </si>
  <si>
    <t>風土記の丘資料館、古墳群、印旛沼自転車道</t>
  </si>
  <si>
    <t>https://connect.garmin.com/app/activity/24056625692</t>
  </si>
  <si>
    <t>浅草、押上、築地、月島、晴海埠頭、皇居</t>
  </si>
  <si>
    <t>府中周辺散策</t>
  </si>
  <si>
    <t>https://connect.garmin.com/app/activity/24056660715</t>
  </si>
  <si>
    <t>新田川緑道、二ヶ村緑道、大國魂神社、高幡不動</t>
  </si>
  <si>
    <t>https://connect.garmin.com/app/activity/24056697033</t>
  </si>
  <si>
    <t>目黒寄生虫博物館</t>
  </si>
  <si>
    <t>https://connect.garmin.com/app/activity/24059754986</t>
  </si>
  <si>
    <t>野川、呑川、増上寺、隅田川、駒込</t>
  </si>
  <si>
    <t>https://connect.garmin.com/app/activity/24059797079</t>
  </si>
  <si>
    <t>井の頭公園、神田川、上野公園</t>
  </si>
  <si>
    <t>大岡川の桜</t>
  </si>
  <si>
    <t>https://connect.garmin.com/app/activity/24059886769</t>
  </si>
  <si>
    <t>大岡川</t>
  </si>
  <si>
    <t>多摩、都内</t>
  </si>
  <si>
    <t>https://connect.garmin.com/app/activity/24059945632</t>
  </si>
  <si>
    <t>野川、呑川緑道、目黒川、立会川緑道、神田川</t>
  </si>
  <si>
    <t>野川の桜のライトアップ</t>
  </si>
  <si>
    <t>伊豆一周断念</t>
  </si>
  <si>
    <t>https://connect.garmin.com/app/activity/24060007471</t>
  </si>
  <si>
    <t>https://connect.garmin.com/app/activity/24060050942</t>
  </si>
  <si>
    <t>野川、多摩川、国分寺</t>
  </si>
  <si>
    <t>https://yamap.com/activities/37090374</t>
  </si>
  <si>
    <t>道の駅「伊豆のへそ」、亀石峠[451m]、弓ヶ浜</t>
  </si>
  <si>
    <t>10:07</t>
  </si>
  <si>
    <t>磐梯吾妻スカイライン</t>
  </si>
  <si>
    <t>https://connect.garmin.com/app/activity/24060122061</t>
  </si>
  <si>
    <t>浄土平</t>
  </si>
  <si>
    <t>三浦半島</t>
  </si>
  <si>
    <t>https://connect.garmin.com/app/activity/24060185920</t>
  </si>
  <si>
    <t>横須賀市街、浦賀、三崎</t>
  </si>
  <si>
    <t>https://connect.garmin.com/app/activity/24060222814</t>
  </si>
  <si>
    <t>見沼代親水公園、伊興遺跡、白旗塚古墳、スカイツリー(建設中)</t>
  </si>
  <si>
    <t>https://connect.garmin.com/app/activity/24060303161</t>
  </si>
  <si>
    <t>東京湾岸、若洲海浜公園、東京ゲートブリッジ(建設中)、お台場、築地</t>
  </si>
  <si>
    <t>https://connect.garmin.com/app/activity/24060364799</t>
  </si>
  <si>
    <t>チャレンジヒルクライム岩木山2010</t>
  </si>
  <si>
    <t>https://connect.garmin.com/app/activity/24060389382</t>
  </si>
  <si>
    <t>岩木山[1625m]</t>
  </si>
  <si>
    <t>https://connect.garmin.com/app/activity/24218883967</t>
  </si>
  <si>
    <t>https://connect.garmin.com/app/activity/24218820582</t>
  </si>
  <si>
    <t>https://connect.garmin.com/app/activity/24219000853</t>
  </si>
  <si>
    <t>https://connect.garmin.com/app/activity/24218743724</t>
  </si>
  <si>
    <t>https://connect.garmin.com/app/activity/24060455048</t>
  </si>
  <si>
    <t>武蔵小金井、東小金井、武蔵境、三鷹、井の頭公園</t>
  </si>
  <si>
    <t>江ノ島、横浜</t>
  </si>
  <si>
    <t>https://connect.garmin.com/app/activity/24060488061</t>
  </si>
  <si>
    <t>鶴見川源流、境川、江ノ島、みなとみらい、鶴見川</t>
  </si>
  <si>
    <t>https://connect.garmin.com/app/activity/24060548150</t>
  </si>
  <si>
    <t>柳沢峠[1472m]、今川峠[947m]</t>
  </si>
  <si>
    <t>https://connect.garmin.com/app/activity/24060588736</t>
  </si>
  <si>
    <t>柳沢峠[1472m]、羽村の根搦み前水田</t>
  </si>
  <si>
    <t>https://connect.garmin.com/app/activity/24060625165</t>
  </si>
  <si>
    <t>https://connect.garmin.com/app/activity/24060692718</t>
  </si>
  <si>
    <t>深川</t>
  </si>
  <si>
    <t>荒川</t>
  </si>
  <si>
    <t>https://connect.garmin.com/app/activity/24060752034</t>
  </si>
  <si>
    <t>川越、荒川、赤羽、秋葉原、新宿</t>
  </si>
  <si>
    <t>https://connect.garmin.com/app/activity/24060808321</t>
  </si>
  <si>
    <t>スカイツリー、高円寺フェス</t>
  </si>
  <si>
    <t>https://connect.garmin.com/app/activity/24060825745</t>
  </si>
  <si>
    <t>古河庭園</t>
  </si>
  <si>
    <t>https://connect.garmin.com/app/activity/24060878656</t>
  </si>
  <si>
    <t>新宿、都電、秋葉原</t>
  </si>
  <si>
    <t>ORBEA</t>
  </si>
  <si>
    <t>ONIX</t>
  </si>
  <si>
    <t>https://connect.garmin.com/app/activity/24060923667</t>
  </si>
  <si>
    <t>神宮外苑、秋葉原</t>
  </si>
  <si>
    <t>https://connect.garmin.com/app/activity/24060976821</t>
  </si>
  <si>
    <t>世界貿易センタービルの展望台、神宮の銀杏並木</t>
  </si>
  <si>
    <t>https://connect.garmin.com/app/activity/24061039005</t>
  </si>
  <si>
    <t>東京都庁展望室、神宮の銀杏並木</t>
  </si>
  <si>
    <t>河口湖の紅葉</t>
  </si>
  <si>
    <t>https://connect.garmin.com/app/activity/24061063100</t>
  </si>
  <si>
    <t>サイクルトレイン、もみじ回廊</t>
  </si>
  <si>
    <t>https://connect.garmin.com/app/activity/24061115511</t>
  </si>
  <si>
    <t>西新宿、神宮の銀杏並木、皇居</t>
  </si>
  <si>
    <t>GIANT</t>
  </si>
  <si>
    <t>Escape R3</t>
  </si>
  <si>
    <t>鎌倉の紅葉</t>
  </si>
  <si>
    <t>https://connect.garmin.com/app/activity/24061177981</t>
  </si>
  <si>
    <t>浄光明寺、海蔵寺、源氏山公園、覚園寺、瑞泉寺、大仏、長谷寺</t>
  </si>
  <si>
    <t>https://connect.garmin.com/app/activity/24061253725</t>
  </si>
  <si>
    <t>河津と下賀茂の桜</t>
  </si>
  <si>
    <t>https://connect.garmin.com/app/activity/24061281012</t>
  </si>
  <si>
    <t>河津川、下賀茂</t>
  </si>
  <si>
    <t>本庄のはにわ</t>
  </si>
  <si>
    <t>https://connect.garmin.com/app/activity/24061328123</t>
  </si>
  <si>
    <t>本庄市立歴史民俗資料館、世界最古の自転車</t>
  </si>
  <si>
    <t>https://connect.garmin.com/app/activity/24061373083</t>
  </si>
  <si>
    <t>大田区、呑川、池上梅園、荏原町商店街、戸越銀座</t>
  </si>
  <si>
    <t>💮</t>
  </si>
  <si>
    <t>https://connect.garmin.com/app/activity/24061397816</t>
  </si>
  <si>
    <t>野川、深大寺、二子玉川</t>
  </si>
  <si>
    <t>https://connect.garmin.com/app/activity/24079000047</t>
  </si>
  <si>
    <t>新宿西口（計画停電中）</t>
  </si>
  <si>
    <t>奥武蔵ぶらり</t>
  </si>
  <si>
    <t>https://connect.garmin.com/app/activity/24079019789</t>
  </si>
  <si>
    <t>山伏峠[621m]、釜伏峠[540m]、二本木峠[590m]、定峰峠[613m]、白石峠[761m]、グリーンライン</t>
  </si>
  <si>
    <t>湘南</t>
  </si>
  <si>
    <t>https://connect.garmin.com/app/activity/24079038895</t>
  </si>
  <si>
    <t>境川、江ノ島、サザンビーチ、相模国分寺跡、座間谷戸山公園</t>
  </si>
  <si>
    <t>https://connect.garmin.com/app/activity/24079066723</t>
  </si>
  <si>
    <t>https://connect.garmin.com/app/activity/24079080433</t>
  </si>
  <si>
    <t>吞川、蛇崩川緑道、目黒川</t>
  </si>
  <si>
    <t>https://connect.garmin.com/app/activity/24079099296</t>
  </si>
  <si>
    <t>https://connect.garmin.com/app/activity/24079109718</t>
  </si>
  <si>
    <t>野川、目黒川、皇居</t>
  </si>
  <si>
    <t>https://connect.garmin.com/app/activity/24079130502</t>
  </si>
  <si>
    <t>野川、深大寺、多摩川、国立</t>
  </si>
  <si>
    <t>https://connect.garmin.com/app/activity/24079232962</t>
  </si>
  <si>
    <t>https://connect.garmin.com/app/activity/24079258280</t>
  </si>
  <si>
    <t>秋葉原、皇居</t>
  </si>
  <si>
    <t>https://connect.garmin.com/app/activity/24079270335</t>
  </si>
  <si>
    <t>多摩川、新子安</t>
  </si>
  <si>
    <t>京都(1/2)</t>
  </si>
  <si>
    <t>https://connect.garmin.com/app/activity/24079283733</t>
  </si>
  <si>
    <t>三年坂、二年坂、祇園、知恩院、哲学の道、二条城</t>
  </si>
  <si>
    <t>京都(2/2)</t>
  </si>
  <si>
    <t>https://connect.garmin.com/app/activity/24079309374</t>
  </si>
  <si>
    <t>京都御所、金閣寺、龍安寺、仁和寺、大覚寺、嵐山</t>
  </si>
  <si>
    <t>https://connect.garmin.com/app/activity/24079334780</t>
  </si>
  <si>
    <t>湘南周辺</t>
  </si>
  <si>
    <t>https://connect.garmin.com/app/activity/24079345246</t>
  </si>
  <si>
    <t>サザンビーチ、湘南平、石田牧場、柏木牧場、飯田牧場</t>
  </si>
  <si>
    <t>https://connect.garmin.com/app/activity/24079364150</t>
  </si>
  <si>
    <t>柳沢峠[1472m]</t>
  </si>
  <si>
    <t>横浜港北</t>
  </si>
  <si>
    <t>https://connect.garmin.com/app/activity/24079375511</t>
  </si>
  <si>
    <t>鶴見川、寺家ふるさと村、鶴見川源流</t>
  </si>
  <si>
    <t>鎌倉</t>
  </si>
  <si>
    <t>https://connect.garmin.com/app/activity/24079387571</t>
  </si>
  <si>
    <t>明月院、東慶寺、浄智寺、杉本寺、妙本寺、大船観音</t>
  </si>
  <si>
    <t>https://connect.garmin.com/app/activity/24079400874</t>
  </si>
  <si>
    <t>https://connect.garmin.com/app/activity/24079408970</t>
  </si>
  <si>
    <t>https://connect.garmin.com/app/activity/24079419266</t>
  </si>
  <si>
    <t>柳沢峠[1472m]、阿蘇神社</t>
  </si>
  <si>
    <t>Cannondale</t>
  </si>
  <si>
    <t>CAAD10</t>
  </si>
  <si>
    <t>柳沢峠、一之瀬</t>
  </si>
  <si>
    <t>https://connect.garmin.com/app/activity/24079437081</t>
  </si>
  <si>
    <t>柳沢峠[1472m]、一之瀬、阿蘇神社</t>
  </si>
  <si>
    <t>瑞牆山</t>
  </si>
  <si>
    <t>瑞牆湖、瑞牆山[2230m]</t>
  </si>
  <si>
    <t>ヤビツ</t>
  </si>
  <si>
    <t>宮ヶ瀬湖、ヤビツ峠[761m]</t>
  </si>
  <si>
    <t>東京都庁展望室、秋葉原</t>
  </si>
  <si>
    <t>かかしづくし</t>
  </si>
  <si>
    <t>川越・山田のかかし、南古谷のかかし、深川のかかし</t>
  </si>
  <si>
    <t>海老名のかかし</t>
  </si>
  <si>
    <t>https://connect.garmin.com/app/activity/24079475728</t>
  </si>
  <si>
    <t>泉の森の曼珠沙華、海老名のかかしまつり、相模国分寺跡</t>
  </si>
  <si>
    <t>https://connect.garmin.com/app/activity/24079548642</t>
  </si>
  <si>
    <t>横浜散策</t>
  </si>
  <si>
    <t>https://connect.garmin.com/app/activity/24079571868</t>
  </si>
  <si>
    <t>みなとみらい、山下公園、伊勢佐木町</t>
  </si>
  <si>
    <t>裏ヤビツと宮ヶ瀬湖</t>
  </si>
  <si>
    <t>https://connect.garmin.com/app/activity/24079583335</t>
  </si>
  <si>
    <t>ヤビツ峠[761m]、水の郷、宮ヶ瀬ダム、服部牧場</t>
  </si>
  <si>
    <t>アメ横</t>
  </si>
  <si>
    <t>箱根</t>
  </si>
  <si>
    <t>https://connect.garmin.com/app/activity/24079595411</t>
  </si>
  <si>
    <t>林道足柄幹線、仙石原、駒ヶ岳ロープウェイ、甘酒茶屋</t>
  </si>
  <si>
    <t>箱根の林道</t>
  </si>
  <si>
    <t>https://connect.garmin.com/app/activity/24079610537</t>
  </si>
  <si>
    <t>足柄峠[759m]、箱根やまなみ林道、山中城跡</t>
  </si>
  <si>
    <t>ジャパンカップ観戦</t>
  </si>
  <si>
    <t>https://connect.garmin.com/app/activity/24079623465</t>
  </si>
  <si>
    <t>蓼科</t>
  </si>
  <si>
    <t>丹沢湖、大野山</t>
  </si>
  <si>
    <t>https://connect.garmin.com/app/activity/24079644330</t>
  </si>
  <si>
    <t>洒水の滝、丹沢湖、大野山[723m]</t>
  </si>
  <si>
    <t>昇仙峡</t>
  </si>
  <si>
    <t>https://connect.garmin.com/app/activity/24079656569</t>
  </si>
  <si>
    <t>千代田湖、武田の杜、昇仙峡</t>
  </si>
  <si>
    <t>神宮外苑、皇居、丸の内、アメ横</t>
  </si>
  <si>
    <t>https://connect.garmin.com/app/activity/24079704694</t>
  </si>
  <si>
    <t>さきたま古墳公園</t>
  </si>
  <si>
    <t>https://connect.garmin.com/app/activity/24079492059</t>
  </si>
  <si>
    <t>若洲海浜公園</t>
  </si>
  <si>
    <t>https://connect.garmin.com/app/activity/24079736326</t>
  </si>
  <si>
    <t>晴海埠頭、若洲海浜公園、お台場</t>
  </si>
  <si>
    <t>シクロ</t>
  </si>
  <si>
    <t>CAADX</t>
  </si>
  <si>
    <t>横浜・本牧周辺</t>
  </si>
  <si>
    <t>https://connect.garmin.com/app/activity/24079746685</t>
  </si>
  <si>
    <t>横浜市電保存館、地蔵王廟、横浜シンボルタワー</t>
  </si>
  <si>
    <t>https://connect.garmin.com/app/activity/24079771752</t>
  </si>
  <si>
    <t>若洲海浜公園、築地、レインボーブリッジ</t>
  </si>
  <si>
    <t>多摩湖、狭山湖</t>
  </si>
  <si>
    <t>https://connect.garmin.com/app/activity/24079780522</t>
  </si>
  <si>
    <t>多摩湖自転車道、多摩湖、狭山湖</t>
  </si>
  <si>
    <t>狭山湖</t>
  </si>
  <si>
    <t>城ヶ島</t>
  </si>
  <si>
    <t>https://connect.garmin.com/app/activity/24079794318</t>
  </si>
  <si>
    <t>江の島、城ヶ島</t>
  </si>
  <si>
    <t>佐倉チューリップフェスタ</t>
  </si>
  <si>
    <t>https://connect.garmin.com/app/activity/24083755904</t>
  </si>
  <si>
    <t>印旛沼自転車道、佐倉チューリップフェスタ、歴博</t>
  </si>
  <si>
    <t>https://connect.garmin.com/app/activity/24083816479</t>
  </si>
  <si>
    <t>柳沢峠[1472m]、阿蘇神社、羽村の根搦み前水田</t>
  </si>
  <si>
    <t>正丸峠、奥武蔵グリーンライン</t>
  </si>
  <si>
    <t>https://connect.garmin.com/app/activity/24083876345</t>
  </si>
  <si>
    <t>手賀沼サイクリングロード</t>
  </si>
  <si>
    <t>https://connect.garmin.com/app/activity/24083950907</t>
  </si>
  <si>
    <t>川越</t>
  </si>
  <si>
    <t>https://connect.garmin.com/app/activity/24084014360</t>
  </si>
  <si>
    <t>https://connect.garmin.com/app/activity/24084051365</t>
  </si>
  <si>
    <t>馬籠宿</t>
  </si>
  <si>
    <t>https://connect.garmin.com/app/activity/24084084340</t>
  </si>
  <si>
    <t>https://connect.garmin.com/app/activity/24084122107</t>
  </si>
  <si>
    <t>https://connect.garmin.com/app/activity/24084144447</t>
  </si>
  <si>
    <t>柳沢峠、一の瀬</t>
  </si>
  <si>
    <t>https://connect.garmin.com/app/activity/24084186354</t>
  </si>
  <si>
    <t>柳沢峠[1472m]、一の瀬高原</t>
  </si>
  <si>
    <t>渋峠</t>
  </si>
  <si>
    <t>https://connect.garmin.com/app/activity/24084264642</t>
  </si>
  <si>
    <t>渋峠[2172m]</t>
  </si>
  <si>
    <t>グルっとまるごと栄村100kmサイクリング</t>
  </si>
  <si>
    <t>https://connect.garmin.com/app/activity/24084314069</t>
  </si>
  <si>
    <t>栄村</t>
  </si>
  <si>
    <t>秦野市散策</t>
  </si>
  <si>
    <t>https://connect.garmin.com/app/activity/24084417538</t>
  </si>
  <si>
    <t>桜土古墳展示館、弘法の清水、震生湖</t>
  </si>
  <si>
    <t>https://connect.garmin.com/app/activity/24084478264</t>
  </si>
  <si>
    <t>塩山駅、大弛峠[2360m]、三国峠[1740m]、中津川林道、西武秩父駅</t>
  </si>
  <si>
    <t>ぶどう峠、麦草峠、十国峠</t>
  </si>
  <si>
    <t>https://connect.garmin.com/app/activity/24084569292</t>
  </si>
  <si>
    <t>大岡川源流へ</t>
  </si>
  <si>
    <t>https://connect.garmin.com/app/activity/24084677884</t>
  </si>
  <si>
    <t>大岡川源流域</t>
  </si>
  <si>
    <t>日本の中心へ</t>
  </si>
  <si>
    <t>https://connect.garmin.com/app/activity/24084762096</t>
  </si>
  <si>
    <t>日本中心の標、日本中心の展望台</t>
  </si>
  <si>
    <t>寸又峡</t>
  </si>
  <si>
    <t>https://connect.garmin.com/app/activity/24084851818</t>
  </si>
  <si>
    <t>夢の吊橋、長島ダム</t>
  </si>
  <si>
    <t>台湾・高雄サイクリング</t>
  </si>
  <si>
    <t>https://connect.garmin.com/app/activity/24084926122</t>
  </si>
  <si>
    <t>孔子廟、龍虎塔、愛川、臨港線</t>
  </si>
  <si>
    <t>海外</t>
  </si>
  <si>
    <t>ﾏﾏﾁｬﾘ</t>
  </si>
  <si>
    <t>もみじ回廊、もみじトンネル</t>
  </si>
  <si>
    <t>つくばりんりんロード</t>
  </si>
  <si>
    <t>https://connect.garmin.com/app/activity/24085161005</t>
  </si>
  <si>
    <t>つくばりんりんロード、真壁</t>
  </si>
  <si>
    <t>https://connect.garmin.com/app/activity/24085034326</t>
  </si>
  <si>
    <t>阿蘇神社、二ツ塚</t>
  </si>
  <si>
    <t>https://connect.garmin.com/app/activity/24085237819</t>
  </si>
  <si>
    <t>江の島、みなとみらい</t>
  </si>
  <si>
    <t>房総の水仙</t>
  </si>
  <si>
    <t>https://connect.garmin.com/app/activity/24079758504</t>
  </si>
  <si>
    <t>水仙ロード、佐久間ダム湖、ばんや、道の駅とみうら</t>
  </si>
  <si>
    <t>茨城の展望台</t>
  </si>
  <si>
    <t>https://connect.garmin.com/app/activity/24079763810</t>
  </si>
  <si>
    <t>くれふしの里古墳公園、小幡北山埴輪製作遺跡、真壁</t>
  </si>
  <si>
    <t>横浜・氷取沢</t>
  </si>
  <si>
    <t>大岡川源流、金沢動物園、氷取沢ファミリー牧場</t>
  </si>
  <si>
    <t>横浜陣ヶ下渓谷</t>
  </si>
  <si>
    <t>https://connect.garmin.com/app/activity/24085467024</t>
  </si>
  <si>
    <t>陣の下渓谷、水道記念館、保土ヶ谷公園、上野毛公園</t>
  </si>
  <si>
    <t>曽我梅林＆小田原魚市場</t>
  </si>
  <si>
    <t>https://connect.garmin.com/app/activity/24085557967</t>
  </si>
  <si>
    <t>曽我梅林、アイス工房、小田原魚市場</t>
  </si>
  <si>
    <t>X85</t>
  </si>
  <si>
    <t>大楠山と三浦海岸の河津桜</t>
  </si>
  <si>
    <t>https://connect.garmin.com/app/activity/24085612230</t>
  </si>
  <si>
    <t>大楠山[241m]、関口牧場、三浦海岸</t>
  </si>
  <si>
    <t>https://connect.garmin.com/app/activity/24085778383</t>
  </si>
  <si>
    <t>https://connect.garmin.com/app/activity/24085911129</t>
  </si>
  <si>
    <t>狭山湖のダート</t>
  </si>
  <si>
    <t>https://connect.garmin.com/app/activity/24085949097</t>
  </si>
  <si>
    <t>道の駅「伊豆のへそ」、冷川峠[360m]、だるま寺</t>
  </si>
  <si>
    <t>https://connect.garmin.com/app/activity/24086021658</t>
  </si>
  <si>
    <t>新宿、秋葉原、東京駅</t>
  </si>
  <si>
    <t>横浜</t>
  </si>
  <si>
    <t>https://connect.garmin.com/app/activity/24086059128</t>
  </si>
  <si>
    <t>横浜港シンボルタワー、横浜スタジアム</t>
  </si>
  <si>
    <t>志賀高原、小布施</t>
  </si>
  <si>
    <t>https://connect.garmin.com/app/activity/24086155649</t>
  </si>
  <si>
    <t>https://connect.garmin.com/app/activity/24086181392</t>
  </si>
  <si>
    <t>https://connect.garmin.com/app/activity/24086262554</t>
  </si>
  <si>
    <t>新宿</t>
  </si>
  <si>
    <t>https://connect.garmin.com/app/activity/24086290782</t>
  </si>
  <si>
    <t>https://connect.garmin.com/app/activity/15346824579</t>
  </si>
  <si>
    <t>としまえんのあじさい祭り</t>
  </si>
  <si>
    <t>https://connect.garmin.com/app/activity/24086316269</t>
  </si>
  <si>
    <t>あじさいの小径、としまえん</t>
  </si>
  <si>
    <t>https://connect.garmin.com/app/activity/24086408892</t>
  </si>
  <si>
    <t>江戸東京博物館</t>
  </si>
  <si>
    <t>御荷鉾スーパー林道</t>
  </si>
  <si>
    <t>https://connect.garmin.com/app/activity/24086469864</t>
  </si>
  <si>
    <t>三波石峡、下久保ダム、御荷鉾スーパー林道</t>
  </si>
  <si>
    <t>スーパー林道</t>
  </si>
  <si>
    <t>高ボッチ高原</t>
  </si>
  <si>
    <t>https://connect.garmin.com/app/activity/24086622187</t>
  </si>
  <si>
    <t>高ボッチ高原、鉢伏山[1929m]、平出遺跡、松本城</t>
  </si>
  <si>
    <t>西武ドーム隣の「ゆり園」</t>
  </si>
  <si>
    <t>ゆり園</t>
  </si>
  <si>
    <t>古代蓮の里</t>
  </si>
  <si>
    <t>https://connect.garmin.com/app/activity/345322857</t>
  </si>
  <si>
    <t>古代蓮の里、さきたま緑道</t>
  </si>
  <si>
    <t>https://connect.garmin.com/app/activity/345322984</t>
  </si>
  <si>
    <t>https://connect.garmin.com/app/activity/345323039</t>
  </si>
  <si>
    <t>大黒ふ頭</t>
  </si>
  <si>
    <t>https://connect.garmin.com/app/activity/345322996</t>
  </si>
  <si>
    <t>生麦事件碑、大黒ふ頭西緑地</t>
  </si>
  <si>
    <t>多摩丘陵</t>
  </si>
  <si>
    <t>https://connect.garmin.com/app/activity/345673639</t>
  </si>
  <si>
    <t>布田道、鶴見川源流、モグサファーム</t>
  </si>
  <si>
    <t>野辺山</t>
  </si>
  <si>
    <t>https://connect.garmin.com/app/activity/432036252</t>
  </si>
  <si>
    <t>平沢峠[1449m]、国立天文台、やまなしの木、滝沢牧場、JR最高地点</t>
  </si>
  <si>
    <t>白州</t>
  </si>
  <si>
    <t>https://connect.garmin.com/app/activity/432037360</t>
  </si>
  <si>
    <t>サントリー白州蒸留所</t>
  </si>
  <si>
    <t>多摩川源流</t>
  </si>
  <si>
    <t>https://connect.garmin.com/app/activity/432039246</t>
  </si>
  <si>
    <t>笠取山[1953m]、水干、多摩川最初の流れ</t>
  </si>
  <si>
    <t>https://connect.garmin.com/app/activity/438988347</t>
  </si>
  <si>
    <t>入笠山周辺ツーリングコース、金沢林道</t>
  </si>
  <si>
    <t>https://connect.garmin.com/app/activity/432039655</t>
  </si>
  <si>
    <t>湯ノ沢峠、お花畑</t>
  </si>
  <si>
    <t>https://connect.garmin.com/app/activity/432039693</t>
  </si>
  <si>
    <t>林道「焼山沢真木線」、湯ノ沢峠[1652m]、お花畑、林道日川線、日川峠[1570m]</t>
  </si>
  <si>
    <t>https://connect.garmin.com/app/activity/432039743</t>
  </si>
  <si>
    <t>奥多摩周遊道路、都民の森[1000m]</t>
  </si>
  <si>
    <t>大菩薩峠、牛の寝通り</t>
  </si>
  <si>
    <t>https://connect.garmin.com/app/activity/432039834</t>
  </si>
  <si>
    <t>大菩薩峠[1897m]、牛の寝通り</t>
  </si>
  <si>
    <t>https://connect.garmin.com/app/activity/432039625</t>
  </si>
  <si>
    <t>https://connect.garmin.com/app/activity/432039801</t>
  </si>
  <si>
    <t>城ケ島</t>
  </si>
  <si>
    <t>富士山一周</t>
  </si>
  <si>
    <t>https://connect.garmin.com/app/activity/432039774</t>
  </si>
  <si>
    <t>ミルクランド</t>
  </si>
  <si>
    <t>深川のかかし</t>
  </si>
  <si>
    <t>https://connect.garmin.com/app/activity/24087452043</t>
  </si>
  <si>
    <t>深川、皇居前</t>
  </si>
  <si>
    <t>三浦半島一周</t>
  </si>
  <si>
    <t>https://connect.garmin.com/app/activity/432039842</t>
  </si>
  <si>
    <t>SYNAPSE Hi-Mod</t>
  </si>
  <si>
    <t>巾着田</t>
  </si>
  <si>
    <t>https://connect.garmin.com/app/activity/432039784</t>
  </si>
  <si>
    <t>秩父・吉田のかかし</t>
  </si>
  <si>
    <t>https://connect.garmin.com/app/activity/432039818</t>
  </si>
  <si>
    <t>有間峠[1142m]、下吉田、奥武蔵グリーンライン</t>
  </si>
  <si>
    <t>グランフォンド八ヶ岳</t>
  </si>
  <si>
    <t>https://connect.garmin.com/app/activity/432039822</t>
  </si>
  <si>
    <t>天竜スーパー林道</t>
  </si>
  <si>
    <t>https://connect.garmin.com/app/activity/432039765</t>
  </si>
  <si>
    <t>秋葉神社、山住峠[1080m]</t>
  </si>
  <si>
    <t>江ノ島</t>
  </si>
  <si>
    <t>https://connect.garmin.com/app/activity/432039793</t>
  </si>
  <si>
    <t>江ノ島、六角橋商店街</t>
  </si>
  <si>
    <t>奥日光の紅葉</t>
  </si>
  <si>
    <t>https://connect.garmin.com/app/activity/432039677</t>
  </si>
  <si>
    <t>先手ヶ浜、戦場ヶ原、光徳牧場</t>
  </si>
  <si>
    <t>蓼科の紅葉</t>
  </si>
  <si>
    <t>https://connect.garmin.com/app/activity/432039771</t>
  </si>
  <si>
    <t>蓼科湖、蓼科サイクリングロード、奥蓼科</t>
  </si>
  <si>
    <t>栗原川林道</t>
  </si>
  <si>
    <t>https://connect.garmin.com/app/activity/432039787</t>
  </si>
  <si>
    <t>吹割の滝</t>
  </si>
  <si>
    <t>秋葉神社、丸の内、神宮外苑の銀杏並木</t>
  </si>
  <si>
    <t>https://connect.garmin.com/app/activity/432039718</t>
  </si>
  <si>
    <t>みずがき湖、林道「松平線」、瑞牆山[2230m]、本谷川渓谷</t>
  </si>
  <si>
    <t>昭和記念公園の紅葉と立川防災航空祭</t>
  </si>
  <si>
    <t>https://connect.garmin.com/app/activity/432039714</t>
  </si>
  <si>
    <t>昭和記念公園、立川駐屯地</t>
  </si>
  <si>
    <t>釜めしの「なかい」グルメライド</t>
  </si>
  <si>
    <t>https://connect.garmin.com/app/activity/432044980</t>
  </si>
  <si>
    <t>釜めしの「なかい」、御岳渓谷</t>
  </si>
  <si>
    <t>布田道、よこやまの道</t>
  </si>
  <si>
    <t>https://connect.garmin.com/app/activity/432045024</t>
  </si>
  <si>
    <t>鶴見川源流</t>
  </si>
  <si>
    <t>https://connect.garmin.com/app/activity/432045084</t>
  </si>
  <si>
    <t>https://connect.garmin.com/app/activity/432045156</t>
  </si>
  <si>
    <t>東京スカイツリー</t>
  </si>
  <si>
    <t>https://connect.garmin.com/app/activity/432045160</t>
  </si>
  <si>
    <t>台東区</t>
  </si>
  <si>
    <t>https://connect.garmin.com/app/activity/432045099</t>
  </si>
  <si>
    <t>2014年初ライド・多摩湖、狭山湖</t>
  </si>
  <si>
    <t>https://connect.garmin.com/app/activity/432045119</t>
  </si>
  <si>
    <t>多摩湖、荒幡の富士、狭山湖、比企の丘</t>
  </si>
  <si>
    <t>飛鳥</t>
  </si>
  <si>
    <t>https://connect.garmin.com/app/activity/432045183</t>
  </si>
  <si>
    <t>高松塚古墳、亀石、橘寺、石舞台、亀形石造物、酒船石、飛鳥寺</t>
  </si>
  <si>
    <t>奈良市内</t>
  </si>
  <si>
    <t>https://connect.garmin.com/app/activity/432045210</t>
  </si>
  <si>
    <t>東大寺、春日大社、興福寺、元興寺、奈良町</t>
  </si>
  <si>
    <t>https://connect.garmin.com/app/activity/432045189</t>
  </si>
  <si>
    <t>狭山湖、比企の丘、里山民家</t>
  </si>
  <si>
    <t>武蔵野吉祥七福神めぐり</t>
  </si>
  <si>
    <t>https://connect.garmin.com/app/activity/432130297</t>
  </si>
  <si>
    <t>飯能北部の山々</t>
  </si>
  <si>
    <t>https://connect.garmin.com/app/activity/888060967</t>
  </si>
  <si>
    <t>高麗峠[177m]、日和田山[305m]、ユガテ、大高取山[376m]、弓立山[423m]</t>
  </si>
  <si>
    <t>雪の多摩湖</t>
  </si>
  <si>
    <t>https://connect.garmin.com/app/activity/888060984</t>
  </si>
  <si>
    <t>https://connect.garmin.com/app/activity/888061006</t>
  </si>
  <si>
    <t>https://connect.garmin.com/app/activity/888061036</t>
  </si>
  <si>
    <t>牛久大仏</t>
  </si>
  <si>
    <t>https://connect.garmin.com/app/activity/888061173</t>
  </si>
  <si>
    <t>霞ヶ浦、利根川、牛久大仏、牛久沼、土浦市考古資料館</t>
  </si>
  <si>
    <t>伊豆の河津桜</t>
  </si>
  <si>
    <t>https://connect.garmin.com/app/activity/888061212</t>
  </si>
  <si>
    <t>河津町</t>
  </si>
  <si>
    <t>https://connect.garmin.com/app/activity/888061234</t>
  </si>
  <si>
    <t>南伊豆町</t>
  </si>
  <si>
    <t>三浦海岸の河津桜</t>
  </si>
  <si>
    <t>https://connect.garmin.com/app/activity/888061302</t>
  </si>
  <si>
    <t>三浦海岸、荒崎公園、大楠山[241m]、湘南国際村</t>
  </si>
  <si>
    <t>武蔵嵐山辺りをブラブラ</t>
  </si>
  <si>
    <t>https://connect.garmin.com/app/activity/888061397</t>
  </si>
  <si>
    <t>すみよし桜の里、嵐山渓谷、道の駅おがわまち、菅谷館跡、笛吹峠[80m]</t>
  </si>
  <si>
    <t>越生周辺</t>
  </si>
  <si>
    <t>https://connect.garmin.com/app/activity/888061491</t>
  </si>
  <si>
    <t>ときがわ町、越生梅林、加藤牧場</t>
  </si>
  <si>
    <t>https://connect.garmin.com/app/activity/888061607</t>
  </si>
  <si>
    <t>道の駅「伊豆のへそ」、冷川峠[360m]、弓ヶ浜、ユウスゲ公園</t>
  </si>
  <si>
    <t>12:18</t>
  </si>
  <si>
    <t>https://connect.garmin.com/app/activity/888061639</t>
  </si>
  <si>
    <t>ヤビツ峠[761m]</t>
  </si>
  <si>
    <t>https://connect.garmin.com/app/activity/888061751</t>
  </si>
  <si>
    <t>https://connect.garmin.com/app/activity/888061849</t>
  </si>
  <si>
    <t>城ヶ島、江ノ島</t>
  </si>
  <si>
    <t>11:40</t>
  </si>
  <si>
    <t>菅平、山田牧場</t>
  </si>
  <si>
    <t>https://connect.garmin.com/app/activity/888061959</t>
  </si>
  <si>
    <t>菅平高原[1257m]、山田牧場[1900m]、黒部のエドヒガン桜</t>
  </si>
  <si>
    <t>11:03</t>
  </si>
  <si>
    <t>つまごいパノラマライン</t>
  </si>
  <si>
    <t>https://connect.garmin.com/app/activity/888061996</t>
  </si>
  <si>
    <t>04:03</t>
  </si>
  <si>
    <t>https://connect.garmin.com/app/activity/888062032</t>
  </si>
  <si>
    <t>https://connect.garmin.com/app/activity/888062083</t>
  </si>
  <si>
    <t>林道足柄幹線、十国峠[770m]</t>
  </si>
  <si>
    <t>05:10</t>
  </si>
  <si>
    <t>白馬散策</t>
  </si>
  <si>
    <t>https://connect.garmin.com/app/activity/888062139</t>
  </si>
  <si>
    <t>白馬小径、姫川源流、貞鱗寺</t>
  </si>
  <si>
    <t>05:40</t>
  </si>
  <si>
    <t>鬼無里と嶺方峠</t>
  </si>
  <si>
    <t>https://connect.garmin.com/app/activity/888062195</t>
  </si>
  <si>
    <t>鬼無里、嶺方峠[1092m]</t>
  </si>
  <si>
    <t>https://connect.garmin.com/app/activity/888062238</t>
  </si>
  <si>
    <t>古里、小沢峠[342m]</t>
  </si>
  <si>
    <t>https://connect.garmin.com/app/activity/888062295</t>
  </si>
  <si>
    <t>柳沢峠[1472m]、小沢峠[342m]</t>
  </si>
  <si>
    <t>09:28</t>
  </si>
  <si>
    <t>https://connect.garmin.com/app/activity/888062453</t>
  </si>
  <si>
    <t>https://connect.garmin.com/app/activity/888062500</t>
  </si>
  <si>
    <t>小沢峠[342m]、仁田山峠[401m]、子の権現</t>
  </si>
  <si>
    <t>第11回 Mt.富士ヒルクライム</t>
  </si>
  <si>
    <t>https://connect.garmin.com/app/activity/888062573</t>
  </si>
  <si>
    <t>https://connect.garmin.com/app/activity/888062604</t>
  </si>
  <si>
    <t>https://connect.garmin.com/app/activity/888062688</t>
  </si>
  <si>
    <t>道の駅「道の駅 花かげの郷 まきおか」、大弛峠[2360m]、信州峠[1470m]、クりスタルライン</t>
  </si>
  <si>
    <t>11:00</t>
  </si>
  <si>
    <t>足柄から箱根を越えて熱海へ</t>
  </si>
  <si>
    <t>https://connect.garmin.com/app/activity/888062819</t>
  </si>
  <si>
    <t>足柄峠[759m]、長尾峠[911m]、芦ノ湖、熱海市街、椿ライン</t>
  </si>
  <si>
    <t>10:00</t>
  </si>
  <si>
    <t>御岳山林道</t>
  </si>
  <si>
    <t>https://connect.garmin.com/app/activity/888062863</t>
  </si>
  <si>
    <t>大血川林道</t>
  </si>
  <si>
    <t>https://connect.garmin.com/app/activity/888062879</t>
  </si>
  <si>
    <t>大血川林道、三峰神社</t>
  </si>
  <si>
    <t>彩湖</t>
  </si>
  <si>
    <t>https://connect.garmin.com/app/activity/888062923</t>
  </si>
  <si>
    <t>上武秩父林道、西秩父林道</t>
  </si>
  <si>
    <t>https://connect.garmin.com/app/activity/888062968</t>
  </si>
  <si>
    <t>上武秩父林道、西秩父林道、わらじカツ丼</t>
  </si>
  <si>
    <t>08:25</t>
  </si>
  <si>
    <t>https://connect.garmin.com/app/activity/888063068</t>
  </si>
  <si>
    <t>足柄、箱根</t>
  </si>
  <si>
    <t>https://connect.garmin.com/app/activity/888063097</t>
  </si>
  <si>
    <t>足柄峠[759m]、長尾峠[911m]、箱根</t>
  </si>
  <si>
    <t>横浜から稲村ケ崎</t>
  </si>
  <si>
    <t>https://connect.garmin.com/app/activity/888063137</t>
  </si>
  <si>
    <t>横浜港大さん橋、稲村ケ崎</t>
  </si>
  <si>
    <t>那須高原</t>
  </si>
  <si>
    <t>https://connect.garmin.com/app/activity/888063185</t>
  </si>
  <si>
    <t>霧降高原</t>
  </si>
  <si>
    <t>https://connect.garmin.com/app/activity/888063227</t>
  </si>
  <si>
    <t>日の出山</t>
  </si>
  <si>
    <t>https://connect.garmin.com/app/activity/888063339</t>
  </si>
  <si>
    <t>海沢林道、大楢林道、御岳山[929m]、日の出山[902m]、金毘羅尾根</t>
  </si>
  <si>
    <t>06:20</t>
  </si>
  <si>
    <t>XTC ADVANCED 3</t>
  </si>
  <si>
    <t>金山志賀坂林道</t>
  </si>
  <si>
    <t>https://connect.garmin.com/app/activity/888063392</t>
  </si>
  <si>
    <t>上武秩父林道、西秩父林道、金山志賀坂林道</t>
  </si>
  <si>
    <t>05:55</t>
  </si>
  <si>
    <t>https://connect.garmin.com/app/activity/888063427</t>
  </si>
  <si>
    <t>01:34</t>
  </si>
  <si>
    <t>https://connect.garmin.com/app/activity/888063463</t>
  </si>
  <si>
    <t>乗鞍エコーライン、第29回</t>
  </si>
  <si>
    <t>https://connect.garmin.com/app/activity/888063496</t>
  </si>
  <si>
    <t>新宿、神宮外苑</t>
  </si>
  <si>
    <t>https://connect.garmin.com/app/activity/888063565</t>
  </si>
  <si>
    <t>ヴェルニー公園、三笠公園、浦賀の渡し、城ヶ島、関口牧場</t>
  </si>
  <si>
    <t>裏ヤビツ、海老名のかかし</t>
  </si>
  <si>
    <t>https://connect.garmin.com/app/activity/888063668</t>
  </si>
  <si>
    <t>裏ヤビツ、DAMATTI、中新田のかかし</t>
  </si>
  <si>
    <t>09:17</t>
  </si>
  <si>
    <t>枝折峠、奥只見湖</t>
  </si>
  <si>
    <t>https://connect.garmin.com/app/activity/888063731</t>
  </si>
  <si>
    <t>枝折峠[1065m]、奥只見湖、御池</t>
  </si>
  <si>
    <t>07:44</t>
  </si>
  <si>
    <t>山王林道</t>
  </si>
  <si>
    <t>https://connect.garmin.com/app/activity/888063777</t>
  </si>
  <si>
    <t>川俣湖、山王林道、光徳牧場</t>
  </si>
  <si>
    <t>05:13</t>
  </si>
  <si>
    <t>光徳牧場</t>
  </si>
  <si>
    <t>https://connect.garmin.com/app/activity/888063805</t>
  </si>
  <si>
    <t>坤六峠</t>
  </si>
  <si>
    <t>https://connect.garmin.com/app/activity/888063859</t>
  </si>
  <si>
    <t>吹割の滝、坤六峠[1620m]、照葉峡</t>
  </si>
  <si>
    <t>08:40</t>
  </si>
  <si>
    <t>富士四湖</t>
  </si>
  <si>
    <t>https://connect.garmin.com/app/activity/888063914</t>
  </si>
  <si>
    <t>河口湖、西湖、精進湖、本栖湖</t>
  </si>
  <si>
    <t>https://connect.garmin.com/app/activity/888063975</t>
  </si>
  <si>
    <t>智者山林道、寸又峡、下泉笹間林道</t>
  </si>
  <si>
    <t>09:24</t>
  </si>
  <si>
    <t>川越うな重ポタ</t>
  </si>
  <si>
    <t>https://connect.garmin.com/app/activity/888064021</t>
  </si>
  <si>
    <t>07:12</t>
  </si>
  <si>
    <t>右左口峠、折八古関林道</t>
  </si>
  <si>
    <t>https://connect.garmin.com/app/activity/888064071</t>
  </si>
  <si>
    <t>右左口峠[830m]、折八古関林道、四尾連湖</t>
  </si>
  <si>
    <t>06:53</t>
  </si>
  <si>
    <t>御岳渓谷、昭和記念公園</t>
  </si>
  <si>
    <t>https://connect.garmin.com/app/activity/888064159</t>
  </si>
  <si>
    <t>茨城県の県南地域</t>
  </si>
  <si>
    <t>https://connect.garmin.com/app/activity/888064345</t>
  </si>
  <si>
    <t>牛久大仏、サイクルトレイン</t>
  </si>
  <si>
    <t>06:00</t>
  </si>
  <si>
    <t>多摩湖湖・狭山湖</t>
  </si>
  <si>
    <t>https://connect.garmin.com/app/activity/888064434</t>
  </si>
  <si>
    <t>狭山湖、多摩湖、里山民家、六道山公園、比企の丘</t>
  </si>
  <si>
    <t>03:30</t>
  </si>
  <si>
    <t>https://connect.garmin.com/app/activity/888064472?trimmed=true</t>
  </si>
  <si>
    <t>伊豆大島一周</t>
  </si>
  <si>
    <t>https://connect.garmin.com/app/activity/888064501</t>
  </si>
  <si>
    <t>大島一周道路</t>
  </si>
  <si>
    <t>島</t>
  </si>
  <si>
    <t>03:52</t>
  </si>
  <si>
    <t>伊豆大島・三原山</t>
  </si>
  <si>
    <t>https://connect.garmin.com/app/activity/888064525</t>
  </si>
  <si>
    <t>02:48</t>
  </si>
  <si>
    <t>https://connect.garmin.com/app/activity/888064546</t>
  </si>
  <si>
    <t>調布飛行場、松陰神社</t>
  </si>
  <si>
    <t>https://connect.garmin.com/app/activity/888064591</t>
  </si>
  <si>
    <t>新宿、アメ横</t>
  </si>
  <si>
    <t>房総の素掘りのトンネル巡り</t>
  </si>
  <si>
    <t>https://connect.garmin.com/app/activity/888064618</t>
  </si>
  <si>
    <t>東京湾フェリー、三島湖、柿木台第一トンネルなど、養老渓谷、川廻し</t>
  </si>
  <si>
    <t>05:35</t>
  </si>
  <si>
    <t>東京都日の出町周辺</t>
  </si>
  <si>
    <t>https://connect.garmin.com/app/activity/888064671</t>
  </si>
  <si>
    <t>滝山公園、横沢・小机林道、梅ノ木峠[635m]、二ツ塚、六道山公園</t>
  </si>
  <si>
    <t>09:33</t>
  </si>
  <si>
    <t>武蔵嵐山辺り</t>
  </si>
  <si>
    <t>https://connect.garmin.com/app/activity/888064700</t>
  </si>
  <si>
    <t>鎌形八幡神社、都幾川の桜並木、武蔵嵐山、嵐山町下里地区、道の駅「おがわまち」、見晴らしの丘、仙元山[299m]、林道「割谷線」、物見山[267.9m]、小倉林道、笛吹峠[80m]、とうふ工房「わたなべ」、アピオスのアイス</t>
  </si>
  <si>
    <t>04:48</t>
  </si>
  <si>
    <t>日高・越生辺り</t>
  </si>
  <si>
    <t>https://connect.garmin.com/app/activity/888064744</t>
  </si>
  <si>
    <t>山根六角塔婆、富士山[221m]、高麗神社、JR高麗川駅前、宮沢湖、高麗峠[177m]、西武高麗駅、林道「清流線」、林道「権現堂線」、林道「笹郷線」、黒山三滝、味噌コンニャク、越生自然休養村センター特産物直売所、ひもかわ、あじさい街道、赤坂小便小僧、越生梅林、パン工房「シロクマ」、</t>
  </si>
  <si>
    <t>06:16</t>
  </si>
  <si>
    <t>https://connect.garmin.com/app/activity/888064833</t>
  </si>
  <si>
    <t>所沢航空公園、越辺川、すみよし桜の里、越辺川の島田橋、物見山[135m]、地球観測センター、笛吹峠[80m]、とうふ工房「わたなべ」、パン工房「シロクマ」、醤油王国、加藤牧場、多摩湖</t>
  </si>
  <si>
    <t>08:08</t>
  </si>
  <si>
    <t>https://connect.garmin.com/app/activity/888064878</t>
  </si>
  <si>
    <t>またまた越生辺り</t>
  </si>
  <si>
    <t>https://connect.garmin.com/app/activity/888064919</t>
  </si>
  <si>
    <t>冠水橋の若宮橋、林道「赤木慈光線」、とうふ工房「わたなべ」、旧下里分校、道の駅「おがわまち」、幸せ地蔵、帝松「酒造まつり」、林道「赤木慈光線、旧岩田家住宅、建具会館、上谷の大クス、越生梅林、パン工房「シロクマ」、多和目橋、多和目天神橋、たかはしたまご」、加藤牧場</t>
  </si>
  <si>
    <t>05:30</t>
  </si>
  <si>
    <t>高麗川の冠水橋巡り</t>
  </si>
  <si>
    <t>https://connect.garmin.com/app/activity/888064952</t>
  </si>
  <si>
    <t>若宮橋、多和目橋、多和目天神橋、高麗神社、たかはしたまご、加藤牧場</t>
  </si>
  <si>
    <t>03:51</t>
  </si>
  <si>
    <t>https://connect.garmin.com/app/activity/888065047</t>
  </si>
  <si>
    <t>ヴェルニー公園、三浦海岸、城ケ島、しぶき亭、江の島、境川、飯田牧場</t>
  </si>
  <si>
    <t>11:06</t>
  </si>
  <si>
    <t>三保の松原</t>
  </si>
  <si>
    <t>https://connect.garmin.com/app/activity/888065113</t>
  </si>
  <si>
    <t>清水港、宮本商店、水上バス、ハーバーブルーライン・サイクリングロード、日本平、登呂遺跡、もちの家、太平洋岸自転車道、三保の松原、清水さかな市場「河岸の市」</t>
  </si>
  <si>
    <t>府中の郷土の森の観梅</t>
  </si>
  <si>
    <t>https://connect.garmin.com/app/activity/888065205</t>
  </si>
  <si>
    <t>07:04</t>
  </si>
  <si>
    <t>奥武蔵グリーンラインの北の林道</t>
  </si>
  <si>
    <t>https://connect.garmin.com/app/activity/888065261</t>
  </si>
  <si>
    <t>道の駅「ふれあいの里たまがわ」、林道「赤木慈光線」、林道「栗山線」、林道「萩殿線」、白石峠[761m]、堂平山の天文台、奥武蔵グリーンライン、ぶな峠[775m]、越沢稲荷の大スギ、パン工房「シロクマ」、都幾川の桜並木</t>
  </si>
  <si>
    <t>07:17</t>
  </si>
  <si>
    <t>名栗周辺の林道</t>
  </si>
  <si>
    <t>https://connect.garmin.com/app/activity/888065324</t>
  </si>
  <si>
    <t>小沢峠[342m]、林道「原市場名栗線」、仁田山峠[401m]、林道「栃屋谷線」、林道「平坂飛村線」、林道「長尾坂・野口入線」、東峠[445m]、六道山公園</t>
  </si>
  <si>
    <t>06:24</t>
  </si>
  <si>
    <t>奥武蔵グリーンライン</t>
  </si>
  <si>
    <t>https://connect.garmin.com/app/activity/888065357</t>
  </si>
  <si>
    <t>TOKIGAWA BASE、白石峠[761m]、堂平山[876m]、奥武蔵グリーンライン、ベラヴィスタ、黒山三滝、パン工房「シロクマ」、藤屋</t>
  </si>
  <si>
    <t>06:11</t>
  </si>
  <si>
    <t>府中の桜</t>
  </si>
  <si>
    <t>桜通り、東郷寺、大国魂神社</t>
  </si>
  <si>
    <t>東秩父辺り</t>
  </si>
  <si>
    <t>https://connect.garmin.com/app/activity/888065440</t>
  </si>
  <si>
    <t>都幾川の桜並木、日枝神社、虎山の千本桜、旧下里分校、花桃の郷、彩の国ふれあい牧場、定峰峠[613m]、白石峠[761m]、奥武蔵グリーンライン、鎌北湖</t>
  </si>
  <si>
    <t>09:00</t>
  </si>
  <si>
    <t>小田原</t>
  </si>
  <si>
    <t>https://connect.garmin.com/app/activity/888065495</t>
  </si>
  <si>
    <t>小田原早川漁港</t>
  </si>
  <si>
    <t>西伊豆スカイライン</t>
  </si>
  <si>
    <t>https://connect.garmin.com/app/activity/888065573</t>
  </si>
  <si>
    <t>小戸橋製菓、東京ラスク、浄蓮の滝、民宿「富士見山荘」、男橋・女橋、風早峠[657m]、仁科峠[900m]、西天城高原牧場の家、戸田峠[730m]、だるま山レストハウス、一石庵</t>
  </si>
  <si>
    <t>08:05</t>
  </si>
  <si>
    <t>秩父・羊山公園の芝桜</t>
  </si>
  <si>
    <t>https://connect.garmin.com/app/activity/888065635</t>
  </si>
  <si>
    <t>羊山公園、定峰峠[613m]、白石峠[761m]</t>
  </si>
  <si>
    <t>09:20</t>
  </si>
  <si>
    <t>高麗川の冠水橋とムーミン谷の公園</t>
  </si>
  <si>
    <t>https://connect.garmin.com/app/activity/888065693</t>
  </si>
  <si>
    <t>06:34</t>
  </si>
  <si>
    <t>定峰峠</t>
  </si>
  <si>
    <t>https://connect.garmin.com/app/activity/888065734</t>
  </si>
  <si>
    <t>定峰峠[613m]、秩父高原牧場、長瀞</t>
  </si>
  <si>
    <t>06:40</t>
  </si>
  <si>
    <t>アルプス展望道路と林道「小熊黒沢線」</t>
  </si>
  <si>
    <t>https://connect.garmin.com/app/activity/888065781</t>
  </si>
  <si>
    <t>道の駅「長野市大岡特産センター」、アルプス展望道路、天然酵母パン「モモ」、林道「小熊黒沢線」、道の駅「おがわ」</t>
  </si>
  <si>
    <t>08:20</t>
  </si>
  <si>
    <t>https://connect.garmin.com/app/activity/888065866</t>
  </si>
  <si>
    <t>道の駅「オアシスおぶせ」、渋峠[2172m]、渋峠ホテル、日本国道最高地点の碑</t>
  </si>
  <si>
    <t>07:30</t>
  </si>
  <si>
    <t>中軽井沢から浅間山を一周</t>
  </si>
  <si>
    <t>https://connect.garmin.com/app/activity/888065929</t>
  </si>
  <si>
    <t>中軽井沢駅前、1000M林道、車坂峠[1973m]、林道「湯の丸高峰線」、湯の丸峠[1732m]、林道「桟敷線」、軽井沢林道、長倉山併用林道</t>
  </si>
  <si>
    <t>07:43</t>
  </si>
  <si>
    <t>富士の芝桜</t>
  </si>
  <si>
    <t>https://connect.garmin.com/app/activity/888065983</t>
  </si>
  <si>
    <t>03:06</t>
  </si>
  <si>
    <t>埼玉・群馬・長野の県境周回サイクリング</t>
  </si>
  <si>
    <t>https://yamap.com/activities/40166965</t>
  </si>
  <si>
    <t>ぶどう峠[1510m]、林道「大門線」、林道「相木川上線」、中津川林道、八丁トンネル</t>
  </si>
  <si>
    <t>11:49</t>
  </si>
  <si>
    <t>しまなみ海道1日目</t>
  </si>
  <si>
    <t>https://connect.garmin.com/app/activity/888066157</t>
  </si>
  <si>
    <t>尾道渡船、向島、因島大橋、はっさく屋、因島大橋、生口島、ドルチェ、しおまち商店街、ひよし旅館</t>
  </si>
  <si>
    <t>しまなみ</t>
  </si>
  <si>
    <t>04:05</t>
  </si>
  <si>
    <t>しまなみ海道2日目</t>
  </si>
  <si>
    <t>https://connect.garmin.com/app/activity/888066235</t>
  </si>
  <si>
    <t>多々羅大橋、サイクリストの聖地、大三島橋、伯方・大島大橋、亀老山[308m]、来島海峡大橋、サンライズ糸山、道の駅「よしうみいきいき館」、塩ラーメンの「さんわ」、リモーネ</t>
  </si>
  <si>
    <t>09:50</t>
  </si>
  <si>
    <t>しまなみ海道3日目</t>
  </si>
  <si>
    <t>https://connect.garmin.com/app/activity/888066270</t>
  </si>
  <si>
    <t>生口橋、因島大橋、後藤飲料水工業所、住田製パン所、尾道渡船、尾道ポートターミナル、尾道の「古寺めぐり」</t>
  </si>
  <si>
    <t>https://connect.garmin.com/app/activity/888066336</t>
  </si>
  <si>
    <t>島田橋、白石峠</t>
  </si>
  <si>
    <t>https://connect.garmin.com/app/activity/888066403</t>
  </si>
  <si>
    <t>若宮橋、島田橋、とうふ工房「わたなべ」、TOKIGAWA BASE、白石峠[761m]、尾張屋、多和目橋</t>
  </si>
  <si>
    <t>09:47</t>
  </si>
  <si>
    <t>https://connect.garmin.com/app/activity/888066444</t>
  </si>
  <si>
    <t>新宿、小平あじさい公園</t>
  </si>
  <si>
    <t>https://connect.garmin.com/app/activity/888066471</t>
  </si>
  <si>
    <t>万沢林道</t>
  </si>
  <si>
    <t>https://connect.garmin.com/app/activity/888066551</t>
  </si>
  <si>
    <t>大道峠[780m]、暮坂峠[1088m]、道の駅「六合」、万沢峠[1240m]、森のカフェKIKI</t>
  </si>
  <si>
    <t>09:21</t>
  </si>
  <si>
    <t>田代山林道、帝釈山林道</t>
  </si>
  <si>
    <t>https://yamap.com/activities/37090538</t>
  </si>
  <si>
    <t>田代山林道、檜枝岐村、帝釈山林道</t>
  </si>
  <si>
    <t>11:37</t>
  </si>
  <si>
    <t>身延山近く</t>
  </si>
  <si>
    <t>https://connect.garmin.com/app/activity/888066579</t>
  </si>
  <si>
    <t>蒜山高原、大山</t>
  </si>
  <si>
    <t>https://yamap.com/activities/37090541</t>
  </si>
  <si>
    <t>蒜山大山スカイライン、鬼女台、鍵掛峠[912m]、大山まきばみるくの里</t>
  </si>
  <si>
    <t>07:14</t>
  </si>
  <si>
    <t>周防大島一周</t>
  </si>
  <si>
    <t>https://connect.garmin.com/app/activity/888066700</t>
  </si>
  <si>
    <t>周防大橋、道の駅「サザンセトとうわ」、陸奥記念館、堅岩</t>
  </si>
  <si>
    <t>06:43</t>
  </si>
  <si>
    <t>開田高原</t>
  </si>
  <si>
    <t>https://connect.garmin.com/app/activity/888066808</t>
  </si>
  <si>
    <t>木曽馬の里、開田高原ｱｲｽｸﾘｰﾑ、九蔵峠[1280m]、長峰峠[1360m]</t>
  </si>
  <si>
    <t>大泉学園の小泉牧場</t>
  </si>
  <si>
    <t>https://connect.garmin.com/app/activity/888066845</t>
  </si>
  <si>
    <t>小泉牧場</t>
  </si>
  <si>
    <t>野麦峠</t>
  </si>
  <si>
    <t>https://connect.garmin.com/app/activity/888066869</t>
  </si>
  <si>
    <t>野麦峠[1672m]</t>
  </si>
  <si>
    <t>https://connect.garmin.com/app/activity/888066914</t>
  </si>
  <si>
    <t>林道「宮ノ入線」を頂上まで走る</t>
  </si>
  <si>
    <t>https://connect.garmin.com/app/activity/888066953</t>
  </si>
  <si>
    <t>林道「宮ノ入線」</t>
  </si>
  <si>
    <t>乗鞍高原～白樺峠</t>
  </si>
  <si>
    <t>https://connect.garmin.com/app/activity/888066978</t>
  </si>
  <si>
    <t>白樺峠[1630m]</t>
  </si>
  <si>
    <t>川越・南古谷のかかしと榎本牧場</t>
  </si>
  <si>
    <t>https://connect.garmin.com/app/activity/889345406</t>
  </si>
  <si>
    <t>秋ヶ瀬公園、南古谷のかかし、榎本牧場、御食事処「新道」</t>
  </si>
  <si>
    <t>https://connect.garmin.com/app/activity/896732360</t>
  </si>
  <si>
    <t>分杭峠と陣馬形山</t>
  </si>
  <si>
    <t>https://yamap.com/activities/37090539</t>
  </si>
  <si>
    <t>分杭峠[1424m]、大鹿村の塩の里、林道「陣馬形線」、林道「黒牛折草線」、陣馬形山キャンプ場、折草峠[1169m]、林道「女沢線」、女沢峠[1263m]</t>
  </si>
  <si>
    <t>08:45</t>
  </si>
  <si>
    <t>乗鞍スカイライン</t>
  </si>
  <si>
    <t>https://connect.garmin.com/app/activity/905427046</t>
  </si>
  <si>
    <t>乗鞍スカイライン、畳平[2702m]</t>
  </si>
  <si>
    <t>飛騨古川散策</t>
  </si>
  <si>
    <t>https://connect.garmin.com/app/activity/905427065</t>
  </si>
  <si>
    <t>飛騨古川駅周辺</t>
  </si>
  <si>
    <t>01:30</t>
  </si>
  <si>
    <t>有峰林道</t>
  </si>
  <si>
    <t>https://connect.garmin.com/app/activity/906336654</t>
  </si>
  <si>
    <t>有峰有料林道、薬師岳登山口</t>
  </si>
  <si>
    <t>https://connect.garmin.com/app/activity/917990917</t>
  </si>
  <si>
    <t>ヴェルニー公園、三笠公園、城ケ島、三崎漁港</t>
  </si>
  <si>
    <t>https://connect.garmin.com/app/activity/942273786</t>
  </si>
  <si>
    <t>皇居、永代橋</t>
  </si>
  <si>
    <t>野辺山と瑞牆山</t>
  </si>
  <si>
    <t>https://connect.garmin.com/app/activity/942905325</t>
  </si>
  <si>
    <t>みずがき湖ビジターセンター、高須林道線、平沢峠[1450m]、鉄道最高地点、ヤツレンのポッポ牛乳、カントリー、信州峠[1470m]、林道「小川山線」、みずがき山自然公園、本谷川渓谷</t>
  </si>
  <si>
    <t>https://connect.garmin.com/app/activity/961959394</t>
  </si>
  <si>
    <t>https://connect.garmin.com/app/activity/961959438</t>
  </si>
  <si>
    <t>竜神大吊橋</t>
  </si>
  <si>
    <t>https://connect.garmin.com/app/activity/963042202</t>
  </si>
  <si>
    <t>竜神大吊橋、亀ヶ淵、そばハウス「龍亭」、武生林道、山田川の沈下橋</t>
  </si>
  <si>
    <t>05:52</t>
  </si>
  <si>
    <t>https://connect.garmin.com/app/activity/974771807</t>
  </si>
  <si>
    <t>よこやまの道</t>
  </si>
  <si>
    <t>https://connect.garmin.com/app/activity/986163146</t>
  </si>
  <si>
    <t>ときがわ町の慈光院</t>
  </si>
  <si>
    <t>https://connect.garmin.com/app/activity/986990631</t>
  </si>
  <si>
    <t>慈光院</t>
  </si>
  <si>
    <t>DEFY ADVANCED</t>
  </si>
  <si>
    <t>奥武蔵グリーンライン周辺</t>
  </si>
  <si>
    <t>https://connect.garmin.com/app/activity/993345633</t>
  </si>
  <si>
    <t>堂平山[876m]、奥武蔵グリーンライン</t>
  </si>
  <si>
    <t>霜降山</t>
  </si>
  <si>
    <t>https://connect.garmin.com/app/activity/998983459</t>
  </si>
  <si>
    <t>霜降山[250m]、新町埠頭、山口宇部空港</t>
  </si>
  <si>
    <t>03:43</t>
  </si>
  <si>
    <t>SLを見に新山口まで</t>
  </si>
  <si>
    <t>https://connect.garmin.com/app/activity/1001341368</t>
  </si>
  <si>
    <t>道の駅「きららあじす」、新山口駅(SL)</t>
  </si>
  <si>
    <t>https://connect.garmin.com/app/activity/1002799408</t>
  </si>
  <si>
    <t>https://connect.garmin.com/app/activity/1008296393</t>
  </si>
  <si>
    <t>多摩湖、きくや、狭山湖</t>
  </si>
  <si>
    <t>伊豆の蛇石峠、大鍋峠</t>
  </si>
  <si>
    <t>https://connect.garmin.com/app/activity/1009596349</t>
  </si>
  <si>
    <t>弓ヶ浜、青野川、道の駅「下賀茂温泉 湯の花」、蛇石峠[324m]、「民芸茶房」、松崎港、大鍋峠[638m]、河津川</t>
  </si>
  <si>
    <t>06:06</t>
  </si>
  <si>
    <t>伊豆の「上佐々野林道」＆「白田林道」</t>
  </si>
  <si>
    <t>https://connect.garmin.com/app/activity/1016150815</t>
  </si>
  <si>
    <t>上佐々野林道、白田林道</t>
  </si>
  <si>
    <t>05:23</t>
  </si>
  <si>
    <t>https://connect.garmin.com/app/activity/1025373339</t>
  </si>
  <si>
    <t>皇居、御徒町</t>
  </si>
  <si>
    <t>伊豆の「土肥中央林道」、「上池林道」</t>
  </si>
  <si>
    <t>https://connect.garmin.com/app/activity/1033881556</t>
  </si>
  <si>
    <t>土肥中央林道、上池林道、上岩穴林道</t>
  </si>
  <si>
    <t>伊豆の天城辺りの林道散策</t>
  </si>
  <si>
    <t>https://connect.garmin.com/app/activity/1040662835</t>
  </si>
  <si>
    <t>本谷林道、岩尾林道、松山林道、荒原の棚田、国士峠[520m]、筏場林道、軽石林道、矢熊筏場林道、あまご茶屋、月ヶ瀬梅林</t>
  </si>
  <si>
    <t>https://connect.garmin.com/app/activity/1053250798</t>
  </si>
  <si>
    <t>河津川</t>
  </si>
  <si>
    <t>https://connect.garmin.com/app/activity/1053378863</t>
  </si>
  <si>
    <t>弓ヶ浜、青野川</t>
  </si>
  <si>
    <t>https://connect.garmin.com/app/activity/1057605412</t>
  </si>
  <si>
    <t>三浦海岸駅</t>
  </si>
  <si>
    <t>曽我梅林、玉宝寺、小田原城</t>
  </si>
  <si>
    <t>https://connect.garmin.com/app/activity/1057789268</t>
  </si>
  <si>
    <t>曽我梅林</t>
  </si>
  <si>
    <t>諸坪峠、猫越林道</t>
  </si>
  <si>
    <t>https://connect.garmin.com/app/activity/1064981153</t>
  </si>
  <si>
    <t>天城隧道、ループ橋、萩ノ入林道、諸坪峠[732m]、白川林道、仁科峠[900m]、風早峠[657m]、猫越林道、桐山林道</t>
  </si>
  <si>
    <t>萬城の滝と西伊豆スカイライン</t>
  </si>
  <si>
    <t>https://connect.garmin.com/app/activity/1066283200</t>
  </si>
  <si>
    <t>萬城の滝、国士越、西伊豆スカイライン、風早峠[657m]、だるま山高原レストハウス</t>
  </si>
  <si>
    <t>ときがわ町辺りの林道</t>
  </si>
  <si>
    <t>https://connect.garmin.com/app/activity/1073050601</t>
  </si>
  <si>
    <t>白石峠</t>
  </si>
  <si>
    <t>https://connect.garmin.com/app/activity/1073135362</t>
  </si>
  <si>
    <t>白石峠[761m]</t>
  </si>
  <si>
    <t>https://connect.garmin.com/app/activity/1074344113</t>
  </si>
  <si>
    <t>晴海ふ頭</t>
  </si>
  <si>
    <t>https://connect.garmin.com/app/activity/1093310080</t>
  </si>
  <si>
    <t>野川、目黒川、神田川</t>
  </si>
  <si>
    <t>https://connect.garmin.com/app/activity/1112274578</t>
  </si>
  <si>
    <t>https://connect.garmin.com/app/activity/1119813790</t>
  </si>
  <si>
    <t>https://connect.garmin.com/app/activity/1119813960</t>
  </si>
  <si>
    <t>羽村の阿蘇神社とチューリップまつり</t>
  </si>
  <si>
    <t>阿蘇神社、羽村の根搦み前水田</t>
  </si>
  <si>
    <t>登山</t>
  </si>
  <si>
    <t>神坂峠越え、富士見台高原登山</t>
  </si>
  <si>
    <t>https://yamap.com/activities/40145940</t>
  </si>
  <si>
    <t>阿智村の花桃の里、神坂峠[1569m]、富士見台高原[1739m]、大谷霧ヶ原線、強清水、馬籠、馬籠峠[801m]、木曽峠[1358m]、大平宿、飯田峠[1235m]</t>
  </si>
  <si>
    <t>09:57</t>
  </si>
  <si>
    <t>明智と岩村</t>
  </si>
  <si>
    <t>https://connect.garmin.com/app/activity/1148927427</t>
  </si>
  <si>
    <t>道の駅「そばの郷 らっせぃみさと」、日本大正村の明智、矢作ダム、道の駅「ラ・フォーレ 福寿の里」、岩村城、岩村</t>
  </si>
  <si>
    <t>売木村から茶臼山へ</t>
  </si>
  <si>
    <t>https://connect.garmin.com/app/activity/1150387726</t>
  </si>
  <si>
    <t>新野峠[1060m]、林道「茶臼山線」、茶臼山レストハウス、矢作川源流、ヤハズ峠[1154m]、道の駅「信州平谷」、平谷峠[1160m]</t>
  </si>
  <si>
    <t>青崩峠越え</t>
  </si>
  <si>
    <t>https://yamap.com/activities/37090746</t>
  </si>
  <si>
    <t>林道「天竜川線」、大津峠[870m]、足神神社、足神の水、青崩峠[1082m]</t>
  </si>
  <si>
    <t>https://connect.garmin.com/app/activity/1168611584</t>
  </si>
  <si>
    <t>埼玉県の最西端の林道</t>
  </si>
  <si>
    <t>https://connect.garmin.com/app/activity/1177468850</t>
  </si>
  <si>
    <t>土坂峠[780m]、林道「上武秩父線」、志賀坂トンネル、道の駅「うえの」、林道「上野大滝線」、天丸トンネル[1240m]、林道「金山志賀坂線」、八丁トンネル[1240m]</t>
  </si>
  <si>
    <t>青梅市・塩船観音寺</t>
  </si>
  <si>
    <t>https://connect.garmin.com/app/activity/1178601181</t>
  </si>
  <si>
    <t>塩船観音寺</t>
  </si>
  <si>
    <t>林道「奥之湯猪之頭線」</t>
  </si>
  <si>
    <t>https://connect.garmin.com/app/activity/1189233520</t>
  </si>
  <si>
    <t>林道「奥之湯猪之頭線」、湯之奥猪之頭トンネル[1240m]、田貫湖、アイス屋「ティコ」、桜峠[1051m]</t>
  </si>
  <si>
    <t>平家の里</t>
  </si>
  <si>
    <t>https://connect.garmin.com/app/activity/1199035993</t>
  </si>
  <si>
    <t>五十里湖、平家の里、土呂部、大笹牧場</t>
  </si>
  <si>
    <t>綾瀬のあやめ</t>
  </si>
  <si>
    <t>https://connect.garmin.com/app/activity/1208975986</t>
  </si>
  <si>
    <t>綾瀬のあやめ、スーパーフォーミュラinアミュあつぎ</t>
  </si>
  <si>
    <t>https://connect.garmin.com/app/activity/1229473945</t>
  </si>
  <si>
    <t>塩山駅、大弛峠[2360m]、三国峠[1740m]、中津川林道、秩父鉄道（サイクルトレイン）</t>
  </si>
  <si>
    <t>https://connect.garmin.com/app/activity/1261253103</t>
  </si>
  <si>
    <t>浅草、皇居、神宮外苑</t>
  </si>
  <si>
    <t>足柄駅から富士スピードウェイ</t>
  </si>
  <si>
    <t>https://connect.garmin.com/app/activity/1261253177</t>
  </si>
  <si>
    <t>スーパーフォーミュラ第3戦を観戦</t>
  </si>
  <si>
    <t>掛川駅から静岡駅まで</t>
  </si>
  <si>
    <t>https://connect.garmin.com/app/activity/1261253252</t>
  </si>
  <si>
    <t>日坂宿、東海道菊川坂、諏訪原城、金谷茶畑、上倉沢棚田、東海道金谷坂、新金谷駅、大井川の川越場、蓬莱橋、ととや新兵衛、焼津さかなセンター、太平洋沿岸自転車道、岡部宿大旅籠柏屋、明治のトンネル</t>
  </si>
  <si>
    <t>富士川から清水を往復</t>
  </si>
  <si>
    <t>https://connect.garmin.com/app/activity/1270052891</t>
  </si>
  <si>
    <t>東海道新幹線の富士川鉄橋、小池邸、、薩?峠[93m]、清水港、河岸の市、興津坐漁荘、道の駅冨士</t>
  </si>
  <si>
    <t>クリスタルラインと明野のヒマワリ</t>
  </si>
  <si>
    <t>https://connect.garmin.com/app/activity/1281562504</t>
  </si>
  <si>
    <t>クリスタルライン、乙女高原、木賊峠[1670m]、林道樫山線、みずがき湖ビジターセンター、明野のひまわり</t>
  </si>
  <si>
    <t>乙見山峠越え</t>
  </si>
  <si>
    <t>https://connect.garmin.com/app/activity/1302280351</t>
  </si>
  <si>
    <t>戸隠・鏡池[1150m]、大望峠[1055m]、鬼無里のいろは堂、嶺方峠[1090m]、白馬駅、小谷温泉、乙見トンネル[1510m]、笹ヶ峰高原</t>
  </si>
  <si>
    <t>https://connect.garmin.com/app/activity/1313470369</t>
  </si>
  <si>
    <t>江戸東京博物館、浅草、明治大学博物館</t>
  </si>
  <si>
    <t>田子の浦ポタリング</t>
  </si>
  <si>
    <t>https://connect.garmin.com/app/activity/1324363381</t>
  </si>
  <si>
    <t>岳南鉄道、浅間古墳、富知六所淺間神社、左富士神社、名勝・左富士、田の浦漁港の「漁協食堂」、しらすの八幡</t>
  </si>
  <si>
    <t>渡良瀬渓谷から日光へ</t>
  </si>
  <si>
    <t>https://connect.garmin.com/app/activity/1334852542</t>
  </si>
  <si>
    <t>足尾、細尾峠[1193m]、いろは坂、中禅寺湖、戦場ヶ原、金精トンネル[1843m]、とうもろこし街道、薗原ダム、根利</t>
  </si>
  <si>
    <t>行田</t>
  </si>
  <si>
    <t>https://connect.garmin.com/app/activity/1352471424</t>
  </si>
  <si>
    <t>古代蓮の里、田んぼアート、さきたま古墳公園、かねつき堂、忍城、八幡山古墳、地蔵塚古墳</t>
  </si>
  <si>
    <t>南会津から会津若松城</t>
  </si>
  <si>
    <t>https://connect.garmin.com/app/activity/1365024824</t>
  </si>
  <si>
    <t>舟鼻トンネル[約950m]、博士峠[1070m]、会津若松城、氷玉峠[820m]、大内宿</t>
  </si>
  <si>
    <t>前日光</t>
  </si>
  <si>
    <t>https://connect.garmin.com/app/activity/1377779085</t>
  </si>
  <si>
    <t>前日光牧場、古峯神社</t>
  </si>
  <si>
    <t>F1日本グランプリ観戦</t>
  </si>
  <si>
    <t>https://connect.garmin.com/app/activity/1395848581</t>
  </si>
  <si>
    <t>鈴鹿サーキット</t>
  </si>
  <si>
    <t>https://connect.garmin.com/app/activity/1398790623</t>
  </si>
  <si>
    <t>https://connect.garmin.com/app/activity/1416384745</t>
  </si>
  <si>
    <t>林道「赤倉栗生線」</t>
  </si>
  <si>
    <t>https://connect.garmin.com/app/activity/24106827300</t>
  </si>
  <si>
    <t>道の駅「川場田園プラザ」、林道「赤倉栗生線」</t>
  </si>
  <si>
    <t>山梨県笛吹市辺りの林道巡り</t>
  </si>
  <si>
    <t>https://connect.garmin.com/app/activity/1432318046</t>
  </si>
  <si>
    <t>河口湖周辺の紅葉狩り</t>
  </si>
  <si>
    <t>https://connect.garmin.com/app/activity/1443823985</t>
  </si>
  <si>
    <t>紅葉台、三湖台、西湖、河口湖、もみじ回廊、もみじトンネル</t>
  </si>
  <si>
    <t>はに丸タワー</t>
  </si>
  <si>
    <t>https://connect.garmin.com/app/activity/1445105148</t>
  </si>
  <si>
    <t>https://connect.garmin.com/app/activity/1445256319</t>
  </si>
  <si>
    <t>東京駅</t>
  </si>
  <si>
    <t>https://connect.garmin.com/app/activity/1452700599</t>
  </si>
  <si>
    <t>入間ジョンソンタウン</t>
  </si>
  <si>
    <t>https://connect.garmin.com/app/activity/1453925564</t>
  </si>
  <si>
    <t>笹子峠</t>
  </si>
  <si>
    <t>https://connect.garmin.com/app/activity/1457616305</t>
  </si>
  <si>
    <t>笹子峠[1097m]</t>
  </si>
  <si>
    <t>https://connect.garmin.com/app/activity/1479290186</t>
  </si>
  <si>
    <t>若洲公園、レインボーブリッジ</t>
  </si>
  <si>
    <t>https://connect.garmin.com/app/activity/1487138775</t>
  </si>
  <si>
    <t>月島、若洲公園</t>
  </si>
  <si>
    <t>https://connect.garmin.com/app/activity/1494898907</t>
  </si>
  <si>
    <t>建長寺</t>
  </si>
  <si>
    <t>https://connect.garmin.com/app/activity/1507711386</t>
  </si>
  <si>
    <t>埼玉県・日高市辺り</t>
  </si>
  <si>
    <t>https://connect.garmin.com/app/activity/1509309588</t>
  </si>
  <si>
    <t>巾着田、聖天院、高麗神社、高麗川の若宮橋、越辺川の島田橋、川越</t>
  </si>
  <si>
    <t>林道「高宕線」</t>
  </si>
  <si>
    <t>https://connect.garmin.com/app/activity/1524099749</t>
  </si>
  <si>
    <t>房総、林道「高宕線」</t>
  </si>
  <si>
    <t>白石峠、堂平山</t>
  </si>
  <si>
    <t>https://connect.garmin.com/app/activity/1525839938</t>
  </si>
  <si>
    <t>白石峠[761m]、堂平山[876m]、萩日吉神社</t>
  </si>
  <si>
    <t>君津、富津辺り</t>
  </si>
  <si>
    <t>https://connect.garmin.com/app/activity/1534999716</t>
  </si>
  <si>
    <t>三島湖の素掘りのトンネル、林道「三間線」、林道「香木原線」、亀岩の洞窟、大山千枚田、大山不動尊、姥石、江川海岸（車にて）</t>
  </si>
  <si>
    <t>https://connect.garmin.com/app/activity/1536854860</t>
  </si>
  <si>
    <t>https://connect.garmin.com/app/activity/1545822478</t>
  </si>
  <si>
    <t>銚子</t>
  </si>
  <si>
    <t>https://connect.garmin.com/app/activity/1547531892</t>
  </si>
  <si>
    <t>銚子ドーバーライン、屛風ヶ浦、犬岩、銚子電鉄の外川駅、地球の丸く見える丘展望台、犬吠埼、ウォッセ、銚子ポートタワー、銚子港、銚子駅前のぬれ煎餅の店、銚子セレクト市場、銚子大橋</t>
  </si>
  <si>
    <t>伊豆・年川林道</t>
  </si>
  <si>
    <t>https://connect.garmin.com/app/activity/1556787070</t>
  </si>
  <si>
    <t>道の駅「伊豆のへそ、年川林道</t>
  </si>
  <si>
    <t>https://connect.garmin.com/app/activity/1615791481</t>
  </si>
  <si>
    <t>皇居、浅草</t>
  </si>
  <si>
    <t>弓ヶ浜から松崎</t>
  </si>
  <si>
    <t>https://connect.garmin.com/app/activity/1627939516</t>
  </si>
  <si>
    <t>弓ヶ浜、ユースゲ公園、あいあい岬、妻良港、夕日ヶ丘休憩所、雲見、松崎、蛇石峠[324m]、青野川、追記</t>
  </si>
  <si>
    <t>大台ヶ原</t>
  </si>
  <si>
    <t>https://connect.garmin.com/app/activity/1703627986</t>
  </si>
  <si>
    <t>九度山</t>
  </si>
  <si>
    <t>真田庵、真田の抜け穴伝説の場所</t>
  </si>
  <si>
    <t>護摩壇山</t>
  </si>
  <si>
    <t>https://yamap.com/activities/37090750</t>
  </si>
  <si>
    <t>林道「室川線」、高野龍神スカイライン、護摩壇山[1372m]、スカイタワー、道の駅「龍神」、龍神温泉、あらぎ島</t>
  </si>
  <si>
    <t>08:39</t>
  </si>
  <si>
    <t>熊野三山</t>
  </si>
  <si>
    <t>https://yamap.com/activities/39989634</t>
  </si>
  <si>
    <t>熊野古道、那智大滝、林道「田長谷線」、熊野本宮大社、林道「谷口皆瀬川線」、熊野速玉大社</t>
  </si>
  <si>
    <t>北山村から十津川村へ</t>
  </si>
  <si>
    <t>https://yamap.com/activities/40166960</t>
  </si>
  <si>
    <t>不動バイパス、酷道425号線、清納の滝、道の駅「十津川郷」、玉置神社、玉置山展望台、萬川トンネル、瀞峡</t>
  </si>
  <si>
    <t>08:26</t>
  </si>
  <si>
    <t>伊勢志摩</t>
  </si>
  <si>
    <t>https://connect.garmin.com/app/activity/1716290352</t>
  </si>
  <si>
    <t>横山展望台、パールロード、的矢湾大橋、海鮮料理の「王将」、伊雜宮、倭姫命の遺跡、佐美長神社、磯部神社</t>
  </si>
  <si>
    <t>山伏峠</t>
  </si>
  <si>
    <t>https://connect.garmin.com/app/activity/1718837105</t>
  </si>
  <si>
    <t>小沢峠[342m]、山伏峠[621m]、正丸峠[640m]、刈場坂峠[818m]、堂平山[876m]、奥武蔵ＧＬ、顔振峠[508m]</t>
  </si>
  <si>
    <t>田口峠</t>
  </si>
  <si>
    <t>https://connect.garmin.com/app/activity/1743309543</t>
  </si>
  <si>
    <t>ぶどう峠[1510m]、龍岡城、田口峠[1120m]、塩之沢峠[1060m]</t>
  </si>
  <si>
    <t>精進ヶ滝林道</t>
  </si>
  <si>
    <t>https://connect.garmin.com/app/activity/1760767534</t>
  </si>
  <si>
    <t>精進ヶ滝林道、精進ヶ滝遠望台、林道「御座石線」、林道「小武川線」、林道「小字沢線」、甘利山[1742m]、林道「御庵沢小武川線」、山の神、ループ橋</t>
  </si>
  <si>
    <t>https://connect.garmin.com/app/activity/1775098082</t>
  </si>
  <si>
    <t>銀座、高輪橋架道橋、品川浦、芝浦運河、レインボーブリッジ、アメ横</t>
  </si>
  <si>
    <t>八王子</t>
  </si>
  <si>
    <t>https://connect.garmin.com/app/activity/1776680663</t>
  </si>
  <si>
    <t>立川、八王子、了法寺、道の駅「八王子滝山」、昭島のアウトドアヴィレッジ</t>
  </si>
  <si>
    <t>櫛形山の林道</t>
  </si>
  <si>
    <t>https://connect.garmin.com/app/activity/1780935462</t>
  </si>
  <si>
    <t>林道「甲西線」、林道「丸山線」、林道「池の茶屋線」、北岳展望デッキパノラマ、櫛形山林道、ループ橋</t>
  </si>
  <si>
    <t>https://connect.garmin.com/app/activity/1787864330</t>
  </si>
  <si>
    <t>https://connect.garmin.com/app/activity/1801602719</t>
  </si>
  <si>
    <t>八王子散策</t>
  </si>
  <si>
    <t>https://connect.garmin.com/app/activity/1803756113</t>
  </si>
  <si>
    <t>八王子駅前周辺、煮干しラーメン、道の駅「八王子滝山」、多摩サイ</t>
  </si>
  <si>
    <t>https://connect.garmin.com/app/activity/1815223433</t>
  </si>
  <si>
    <t>柳沢峠[1472m]、道の駅「たばやま」、奥多摩周遊道路、都民の森[1000m]</t>
  </si>
  <si>
    <t>飛騨古川から白川郷へ周回</t>
  </si>
  <si>
    <t>https://connect.garmin.com/app/activity/1854962017</t>
  </si>
  <si>
    <t>、小鳥峠[1113m]、御母衣ダムサイトパーク、白川郷、天生峠[1290m]</t>
  </si>
  <si>
    <t>https://connect.garmin.com/app/activity/1856736323</t>
  </si>
  <si>
    <t>小平周辺</t>
  </si>
  <si>
    <t>https://connect.garmin.com/app/activity/1859140793</t>
  </si>
  <si>
    <t>小金井のプーさん、吉祥寺のはらドーナツ、多摩湖自転車道</t>
  </si>
  <si>
    <t>https://connect.garmin.com/app/activity/1870463813</t>
  </si>
  <si>
    <t>道の駅「道の駅 花かげの郷 まきおか」、大弛峠[2360m]、夢の庭園</t>
  </si>
  <si>
    <t>https://connect.garmin.com/app/activity/1896010460</t>
  </si>
  <si>
    <t>名栗湖</t>
  </si>
  <si>
    <t>https://connect.garmin.com/app/activity/1898498213</t>
  </si>
  <si>
    <t>https://connect.garmin.com/app/activity/1955102582</t>
  </si>
  <si>
    <t>https://yamap.com/activities/40014108</t>
  </si>
  <si>
    <t>07:19</t>
  </si>
  <si>
    <t>乗鞍周回</t>
  </si>
  <si>
    <t>https://yamap.com/activities/39991889</t>
  </si>
  <si>
    <t>野麦峠[1672m]、乗鞍スーパー林道、乗鞍高原、乗鞍エコーライン、乗鞍スカイライン、美女街道</t>
  </si>
  <si>
    <t>乗鞍越え</t>
  </si>
  <si>
    <t>10:39</t>
  </si>
  <si>
    <t>草津白根山</t>
  </si>
  <si>
    <t>https://connect.garmin.com/app/activity/2063378615</t>
  </si>
  <si>
    <t>草津白根山[2171m]</t>
  </si>
  <si>
    <t>奥只見湖</t>
  </si>
  <si>
    <t>https://yamap.com/activities/40015912</t>
  </si>
  <si>
    <t>枝折峠[1065m]、奥只見湖、尾瀬御池駐車場、桧枝岐村</t>
  </si>
  <si>
    <t>10:03</t>
  </si>
  <si>
    <t>川俣湖と瀬戸合峡</t>
  </si>
  <si>
    <t>https://connect.garmin.com/app/activity/2071423485</t>
  </si>
  <si>
    <t>川俣湖、瀬戸合峡</t>
  </si>
  <si>
    <t>中禅寺湖を散策</t>
  </si>
  <si>
    <t>半月山展望台、小田代ヶ原、中禅寺湖千手ヶ浜、日光二荒山神社中宮祠</t>
  </si>
  <si>
    <t>https://connect.garmin.com/app/activity/2212978499</t>
  </si>
  <si>
    <t>猊鼻渓、厳美峡</t>
  </si>
  <si>
    <t>00:52</t>
  </si>
  <si>
    <t>平泉</t>
  </si>
  <si>
    <t>https://connect.garmin.com/app/activity/2214806080</t>
  </si>
  <si>
    <t>毛越寺、中尊寺、達谷窟毘沙門堂、</t>
  </si>
  <si>
    <t>https://connect.garmin.com/app/activity/2272369607</t>
  </si>
  <si>
    <t>河口湖、もみじ回廊、もみじトンネル</t>
  </si>
  <si>
    <t>紅葉台の紅葉</t>
  </si>
  <si>
    <t>https://connect.garmin.com/app/activity/2272572554</t>
  </si>
  <si>
    <t>紅葉台</t>
  </si>
  <si>
    <t>茨城の花貫渓谷</t>
  </si>
  <si>
    <t>https://connect.garmin.com/app/activity/2290428645</t>
  </si>
  <si>
    <t>花貫渓谷</t>
  </si>
  <si>
    <t>二十曲峠</t>
  </si>
  <si>
    <t>https://connect.garmin.com/app/activity/2327232602</t>
  </si>
  <si>
    <t>林道「細野鹿留線」、林道「鹿留線」、二十曲峠[1150m]</t>
  </si>
  <si>
    <t>青梅ポタリング</t>
  </si>
  <si>
    <t>https://connect.garmin.com/app/activity/2339116130</t>
  </si>
  <si>
    <t>日向和田臨川庭園、釜の淵公園、阿蘇神社、羽村取水堰</t>
  </si>
  <si>
    <t>小平近郊の紅葉巡り</t>
  </si>
  <si>
    <t>https://connect.garmin.com/app/activity/2344334828</t>
  </si>
  <si>
    <t>武蔵野公園、野川</t>
  </si>
  <si>
    <t>府中から多摩湖の紅葉</t>
  </si>
  <si>
    <t>https://connect.garmin.com/app/activity/2347785140</t>
  </si>
  <si>
    <t>府中の森公園、武蔵野公園、多摩湖、西武園イルミージュ</t>
  </si>
  <si>
    <t>https://connect.garmin.com/app/activity/2348971248</t>
  </si>
  <si>
    <t>神宮外苑のいちょう並木、国会議事堂前の銀杏、日比谷公園、すみだ北斎博物館、アメ横</t>
  </si>
  <si>
    <t>千葉県・松戸市の紅葉</t>
  </si>
  <si>
    <t>https://connect.garmin.com/app/activity/2360619014</t>
  </si>
  <si>
    <t>本土寺、東漸寺、水元公園、柴又</t>
  </si>
  <si>
    <t>新宿、吉祥寺</t>
  </si>
  <si>
    <t>https://connect.garmin.com/app/activity/2373207848</t>
  </si>
  <si>
    <t>房総の林道サイクリング</t>
  </si>
  <si>
    <t>https://connect.garmin.com/app/activity/2383345688</t>
  </si>
  <si>
    <t>水仙ロード、大山千枚田、林道「山中線」、林道「保打田見線」、灯篭坂大師、林道「金谷元谷線」</t>
  </si>
  <si>
    <t>https://connect.garmin.com/app/activity/2393781159</t>
  </si>
  <si>
    <t>馬車道、神奈川県立歴史博物館、中華街、大さん橋、横浜開港記念会館、地蔵王廟、山手イタリア山庭園、港の見える丘公園、山下公園</t>
  </si>
  <si>
    <t>房総半島の林道</t>
  </si>
  <si>
    <t>https://connect.garmin.com/app/activity/2401969897</t>
  </si>
  <si>
    <t>林道「月崎1号線」、林道「大福線」、林道「女ヶ倉線」、林道「牛堀線」、チバニアン</t>
  </si>
  <si>
    <t>江の島、横浜</t>
  </si>
  <si>
    <t>https://connect.garmin.com/app/activity/24092196050</t>
  </si>
  <si>
    <t>江の島、みなとみらい、天富園、ベイブリッジのスカイロード跡、總持寺</t>
  </si>
  <si>
    <t>https://connect.garmin.com/app/activity/2419004873</t>
  </si>
  <si>
    <t>林道「怒田福野線」、林道「大福線」、林道「星井畑線」、林道「奥谷線」清澄養老ライン、亀山湖</t>
  </si>
  <si>
    <t>https://connect.garmin.com/app/activity/24092214042</t>
  </si>
  <si>
    <t>鶴見川、横須賀「ヴェルニー公園」、城ヶ島、稲村ケ崎、江の島、境川サイクリングロード</t>
  </si>
  <si>
    <t>https://connect.garmin.com/app/activity/2445488359</t>
  </si>
  <si>
    <t>道の駅「伊豆のへそ」、弓ヶ浜</t>
  </si>
  <si>
    <t>横浜、川崎、都内</t>
  </si>
  <si>
    <t>https://connect.garmin.com/app/activity/2476865879</t>
  </si>
  <si>
    <t>横浜シンボルタワー、横浜中華街、金山神社、芝公園、東京駅</t>
  </si>
  <si>
    <t>CAAD12</t>
  </si>
  <si>
    <t>https://connect.garmin.com/app/activity/2502848308</t>
  </si>
  <si>
    <t>道の駅「伊豆のへそ」、新天城トンネル、河津川の河津桜、青野川の河津桜</t>
  </si>
  <si>
    <t>https://connect.garmin.com/app/activity/2517012078</t>
  </si>
  <si>
    <t>三浦海岸、アメ横、銀座</t>
  </si>
  <si>
    <t>https://connect.garmin.com/app/activity/2531067667</t>
  </si>
  <si>
    <t>道の駅「伊豆のへそ」、河津川の河津桜、青野川の河津桜</t>
  </si>
  <si>
    <t>函南、芦ノ湖</t>
  </si>
  <si>
    <t>https://connect.garmin.com/app/activity/24218414369</t>
  </si>
  <si>
    <t>柏谷横穴群、オラチェ、十国峠[770m]、芦ノ湖、三島スカイウォーク</t>
  </si>
  <si>
    <t>野川、仙川</t>
  </si>
  <si>
    <t>https://connect.garmin.com/app/activity/2546750766</t>
  </si>
  <si>
    <t>銚子から小平</t>
  </si>
  <si>
    <t>https://connect.garmin.com/app/activity/2560604463</t>
  </si>
  <si>
    <t>ぬれ煎餅、銚子大橋、利根川、手賀沼、江戸川、東京スカイツリー</t>
  </si>
  <si>
    <t>東村山から二子玉川</t>
  </si>
  <si>
    <t>https://connect.garmin.com/app/activity/2562481392</t>
  </si>
  <si>
    <t>深大寺、二子玉川公園</t>
  </si>
  <si>
    <t>https://connect.garmin.com/app/activity/2577226575</t>
  </si>
  <si>
    <t>浅草</t>
  </si>
  <si>
    <t>都幾川の桜堤</t>
  </si>
  <si>
    <t>https://connect.garmin.com/app/activity/2590309494</t>
  </si>
  <si>
    <t>都幾川の桜堤、旧下里分校、道の駅「おがわまち」、日枝神社</t>
  </si>
  <si>
    <t>羽村のチューリップ畑</t>
  </si>
  <si>
    <t>https://connect.garmin.com/app/activity/2592712783</t>
  </si>
  <si>
    <t>根川緑道、多摩サイ、平井川、羽村堰、羽村の根搦み前水田、ゾナヴォーチェ、野山北自転車公園自転車道</t>
  </si>
  <si>
    <t>🌸🌷</t>
  </si>
  <si>
    <t>山伏峠と子の権現</t>
  </si>
  <si>
    <t>https://connect.garmin.com/app/activity/2606817672</t>
  </si>
  <si>
    <t>小沢峠[342m]、山伏峠[621m]、天目指峠[480m]、子の権現、狭山湖、多摩湖</t>
  </si>
  <si>
    <t>草津白根と渋峠</t>
  </si>
  <si>
    <t>https://connect.garmin.com/app/activity/2639434422</t>
  </si>
  <si>
    <t>草津白根[2160m]、雪の回廊、国道最高地点[2172m]、渋峠[2152m]</t>
  </si>
  <si>
    <t>京都散策</t>
  </si>
  <si>
    <t>https://yamap.com/activities/40145945</t>
  </si>
  <si>
    <t>京都市応仁の乱古戦場など</t>
  </si>
  <si>
    <t>10:11</t>
  </si>
  <si>
    <t>https://yamap.com/activities/40145949</t>
  </si>
  <si>
    <t>大原三千院、鞍馬寺、貴船神社</t>
  </si>
  <si>
    <t>07:01</t>
  </si>
  <si>
    <t>京都市北部</t>
  </si>
  <si>
    <t>https://yamap.com/activities/39830590</t>
  </si>
  <si>
    <t>前ヶ畑峠[344m]、百井峠[741m]、花脊峠[759m]、佐々里峠[735m]、美山のかやぶきの里、道の駅「美山ふれあい広場」、神明峠[395m]、六丁峠[409m]、嵯峨鳥居本の町並み</t>
  </si>
  <si>
    <t>10:30</t>
  </si>
  <si>
    <t>京都-ダルマ峠</t>
  </si>
  <si>
    <t>https://yamap.com/activities/39987321</t>
  </si>
  <si>
    <t>京見峠[446m]、ダルマ峠[720m]、霊心寺林道、谷山林道、神護寺、西明寺、高山寺、仁和寺</t>
  </si>
  <si>
    <t>08:27</t>
  </si>
  <si>
    <t>🚶</t>
  </si>
  <si>
    <t>ウォーキング</t>
  </si>
  <si>
    <t>東本願寺、渉成園、あじき路地辺り、六波羅蜜寺、安井金毘羅宮、建仁寺、祇園界隈、巽橋、大和橋、知恩院、八坂神社</t>
  </si>
  <si>
    <t>https://connect.garmin.com/app/activity/2671497952</t>
  </si>
  <si>
    <t>哲学の道、南禅寺、二年坂、三年坂、雲龍院、泉涌寺、東福寺、芬陀院、法輪寺、妙心寺、等持院、北野天満宮</t>
  </si>
  <si>
    <t>林道「西川新倉線」、二十曲峠</t>
  </si>
  <si>
    <t>https://connect.garmin.com/app/activity/2692276474</t>
  </si>
  <si>
    <t>林道「西川新倉線」、二十曲峠[1150m]</t>
  </si>
  <si>
    <t>箱根の東側の林道など</t>
  </si>
  <si>
    <t>https://connect.garmin.com/app/activity/2729707433</t>
  </si>
  <si>
    <t>林道「坊所線」、足柄幹線林道、芦ノ湖、セラピーロード、明神林道、金太郎の生家跡</t>
  </si>
  <si>
    <t>柳沢峠周辺の林道</t>
  </si>
  <si>
    <t>https://connect.garmin.com/app/activity/2747715293</t>
  </si>
  <si>
    <t>林道「鈴庫山線」、林道「竹森線」、林道「笠取線」、三窪高原、林道「泉水横手山線」</t>
  </si>
  <si>
    <t>星峠の棚田など</t>
  </si>
  <si>
    <t>https://connect.garmin.com/app/activity/2797252095</t>
  </si>
  <si>
    <t>美人林、星峠の棚田、峠の茶屋、蒲生の棚田、その他棚田</t>
  </si>
  <si>
    <t>奥多摩駅から有間峠へ</t>
  </si>
  <si>
    <t>https://connect.garmin.com/app/activity/2800122339</t>
  </si>
  <si>
    <t>林道「川乗線」、林道「日向沢線」、日向沢の峰、有間峠[1142m]</t>
  </si>
  <si>
    <t>https://connect.garmin.com/app/activity/2816940821</t>
  </si>
  <si>
    <t>小山の田んぼアート巡り</t>
  </si>
  <si>
    <t>https://connect.garmin.com/app/activity/2834269999</t>
  </si>
  <si>
    <t>逆井城、筑波サーキット</t>
  </si>
  <si>
    <t>https://connect.garmin.com/app/activity/2834704214</t>
  </si>
  <si>
    <t>関東鉄道、田んぼアート、渡良瀬遊水地</t>
  </si>
  <si>
    <t>鳥倉林道</t>
  </si>
  <si>
    <t>https://connect.garmin.com/app/activity/2849928562</t>
  </si>
  <si>
    <t>下栗の里としらびそ高原</t>
  </si>
  <si>
    <t>下栗の里、しらびそ高原</t>
  </si>
  <si>
    <t>乗鞍高原</t>
  </si>
  <si>
    <t>https://connect.garmin.com/app/activity/2867599907</t>
  </si>
  <si>
    <t>https://connect.garmin.com/app/activity/2881729518</t>
  </si>
  <si>
    <t>鎌倉と湘南の海沿いをブラリ</t>
  </si>
  <si>
    <t>https://connect.garmin.com/app/activity/2888459630</t>
  </si>
  <si>
    <t>円覚寺、明月院、浄明寺、一条恵観山荘、左可井、光明寺、稲村ヶ崎、藤澤浮世絵館</t>
  </si>
  <si>
    <t>おにゅう峠</t>
  </si>
  <si>
    <t>https://yamap.com/activities/40127456</t>
  </si>
  <si>
    <t>道の駅「若狭おばま」、上社、下社、鵜の瀬、上根来集落、林道小入谷線、おにゅう峠[846m]、道の駅「くつき新本陣」、宝牧場、水坂峠[280m]、熊川宿、小浜港</t>
  </si>
  <si>
    <t>07:49</t>
  </si>
  <si>
    <t>冠山峠</t>
  </si>
  <si>
    <t>https://connect.garmin.com/app/activity/2941088550</t>
  </si>
  <si>
    <t>かずら橋駐車場、林道冠山線、冠山峠[1050m]、能面美術館、かずら橋</t>
  </si>
  <si>
    <t>福島駅から珍スポットを経由して郡山駅へ</t>
  </si>
  <si>
    <t>https://connect.garmin.com/app/activity/2981220763</t>
  </si>
  <si>
    <t>UFOふれあい館、UFO物産館、デコ屋敷、みちのく自転車道、</t>
  </si>
  <si>
    <t>🏔</t>
  </si>
  <si>
    <t>高尾山</t>
  </si>
  <si>
    <t>https://connect.garmin.com/app/activity/2996722451</t>
  </si>
  <si>
    <t>高尾山[599m]</t>
  </si>
  <si>
    <t>https://connect.garmin.com/app/activity/2999432503</t>
  </si>
  <si>
    <t>道の駅「花かげの郷まきおか」、大弛峠[2360m]</t>
  </si>
  <si>
    <t>https://connect.garmin.com/app/activity/3017884472</t>
  </si>
  <si>
    <t>巾着田、高麗神社、豆腐厨房 日高楡木店</t>
  </si>
  <si>
    <t>鷹狩山展望台</t>
  </si>
  <si>
    <t>https://connect.garmin.com/app/activity/3073814017</t>
  </si>
  <si>
    <t>七色大カエデ、唐花見湿原、鷹狩山展望台</t>
  </si>
  <si>
    <t>御嶽パノラマラインと鈴蘭スカイライン</t>
  </si>
  <si>
    <t>https://connect.garmin.com/app/activity/3073814051</t>
  </si>
  <si>
    <t>日和田公園、御嶽パノラマライン、大平展望台、鈴蘭スカイライン、道の駅「飛騨たかね工房」</t>
  </si>
  <si>
    <t>https://connect.garmin.com/app/activity/3073814090</t>
  </si>
  <si>
    <t>乗鞍高原、乗鞍エコーライン、畳平[2702m]</t>
  </si>
  <si>
    <t>折八古関林道</t>
  </si>
  <si>
    <t>https://connect.garmin.com/app/activity/3103203957</t>
  </si>
  <si>
    <t>折八古関エコーライン、本栖道、本栖湖</t>
  </si>
  <si>
    <t>川越まつり＆うなぎポタリング</t>
  </si>
  <si>
    <t>https://connect.garmin.com/app/activity/3104929864</t>
  </si>
  <si>
    <t>川越まつり、うなぎの「いちのや」</t>
  </si>
  <si>
    <t>瑞牆山など</t>
  </si>
  <si>
    <t>https://connect.garmin.com/app/activity/3126044194</t>
  </si>
  <si>
    <t>みずがき湖、高須林道、平沢峠[1450m]、野辺山、信州峠[1470m]、瑞牆山自然公園、本谷川渓谷</t>
  </si>
  <si>
    <t>大血川林道の紅葉</t>
  </si>
  <si>
    <t>https://connect.garmin.com/app/activity/3136205257</t>
  </si>
  <si>
    <t>大血川林道、三峯神社、栃本関所跡、入川林道</t>
  </si>
  <si>
    <t>北茨城の紅葉</t>
  </si>
  <si>
    <t>https://connect.garmin.com/app/activity/3153913845</t>
  </si>
  <si>
    <t>袋田の滝、永源寺、道の駅「だいご」、月待ちの滝、武生林道、亀ヶ淵</t>
  </si>
  <si>
    <t>妙義山と徳明園紅葉</t>
  </si>
  <si>
    <t>https://connect.garmin.com/app/activity/3166698283</t>
  </si>
  <si>
    <t>はねこし峡、妙義山[1104m]、少林山達磨寺、洞窟観音、徳明園、高崎白衣大観音、旧富岡製糸場</t>
  </si>
  <si>
    <t>野川源流</t>
  </si>
  <si>
    <t>https://connect.garmin.com/app/activity/3171385874</t>
  </si>
  <si>
    <t>武蔵国分寺跡、お鷹の道、殿ヶ谷戸庭園、野川源流（日立製作所中央研究所）</t>
  </si>
  <si>
    <t>FX3</t>
  </si>
  <si>
    <t>宝徳寺の床もみじ</t>
  </si>
  <si>
    <t>https://connect.garmin.com/app/activity/3179865649</t>
  </si>
  <si>
    <t>宝徳寺</t>
  </si>
  <si>
    <t>足利の紅葉</t>
  </si>
  <si>
    <t>https://connect.garmin.com/app/activity/3179865661</t>
  </si>
  <si>
    <t>崇禅寺、織姫神社、もみじ谷、鑁阿寺、足利学校</t>
  </si>
  <si>
    <t>https://connect.garmin.com/app/activity/3239605241</t>
  </si>
  <si>
    <t>秋葉原、丸の内、国会議事堂周辺、靖国神社、神宮外苑、西新宿、吉祥寺</t>
  </si>
  <si>
    <t>https://connect.garmin.com/app/activity/3239605270</t>
  </si>
  <si>
    <t>狭山湖、六道山公園</t>
  </si>
  <si>
    <t>横須賀、横浜</t>
  </si>
  <si>
    <t>https://connect.garmin.com/app/activity/3241420327</t>
  </si>
  <si>
    <t>ヴェルニー公園、伊勢佐木町、中華街、みなとみらい</t>
  </si>
  <si>
    <t>南伊豆</t>
  </si>
  <si>
    <t>https://connect.garmin.com/app/activity/24092502445</t>
  </si>
  <si>
    <t>弓ヶ浜、石廊崎、ユウスゲ公園、あいあい岬、雲見、松崎町、蛇石峠[324m]、蛇石、サンドスキー場、竜宮窟</t>
  </si>
  <si>
    <t>お台場周辺など</t>
  </si>
  <si>
    <t>https://connect.garmin.com/app/activity/3298630181</t>
  </si>
  <si>
    <t>有明西ふ頭公園、水の広場公園、テレコムセンター、お台場ガンダム、豊洲ぐるり公園</t>
  </si>
  <si>
    <t>南房総</t>
  </si>
  <si>
    <t>https://connect.garmin.com/app/activity/3312463127</t>
  </si>
  <si>
    <t>道の駅「ちくら・潮風王国」、林道「畑２号線」、海底地すべり地層、海底地すべり地層、野島崎灯台、萬徳寺の釈迦涅槃像、洲崎神社の浜の鳥居、赤山地下壕跡</t>
  </si>
  <si>
    <t>https://connect.garmin.com/app/activity/3365797334</t>
  </si>
  <si>
    <t>雲見</t>
  </si>
  <si>
    <t>伊勢散策</t>
  </si>
  <si>
    <t>https://connect.garmin.com/app/activity/3383330589</t>
  </si>
  <si>
    <t>伊勢神宮・下宮、猿田彦神社、伊勢神宮・内宮、月讀宮、倭姫宮</t>
  </si>
  <si>
    <t>鳥羽</t>
  </si>
  <si>
    <t>https://connect.garmin.com/app/activity/3383330611</t>
  </si>
  <si>
    <t>夫婦岩</t>
  </si>
  <si>
    <t>渥美半島</t>
  </si>
  <si>
    <t>https://connect.garmin.com/app/activity/3383330654</t>
  </si>
  <si>
    <t>伊勢湾フェリー、伊良湖岬灯台、恋路ヶ浜、日出の石門、渥美半島自転車道、三河田原駅</t>
  </si>
  <si>
    <t>https://connect.garmin.com/app/activity/3388362259</t>
  </si>
  <si>
    <t>道の駅「伊豆のへそ」</t>
  </si>
  <si>
    <t>ときがわ町から花桃の里へ</t>
  </si>
  <si>
    <t>https://connect.garmin.com/app/activity/3488881722</t>
  </si>
  <si>
    <t>「林道雀川上雲線」、林道「赤木慈光線」、林道「栗山七重線」、林道「栗山線」、林道「栗山支線」、林道「御堂笠山線」、道の駅「和紙の里ひがしちちぶ」、花桃の里、道の駅「おがわまち」、旧下里分校</t>
  </si>
  <si>
    <t>https://connect.garmin.com/app/activity/3510785510</t>
  </si>
  <si>
    <t>北の丸公園、皇居、東京駅、日本橋、小石川後楽園</t>
  </si>
  <si>
    <t>https://connect.garmin.com/app/activity/3512118978</t>
  </si>
  <si>
    <t>小平市、多摩湖自転車道、井の頭公園、神田川、西新宿、目黒川、呑川緑道、野川、武蔵野公園</t>
  </si>
  <si>
    <t>都幾川桜堤</t>
  </si>
  <si>
    <t>日枝神社、旧下里分校</t>
  </si>
  <si>
    <t>甲州市周辺</t>
  </si>
  <si>
    <t>https://connect.garmin.com/app/activity/3538106084</t>
  </si>
  <si>
    <t>乙ヶ塚のしだれ桜、フルーツライン、慈雲寺、周林寺、ほうとうの七福、向嶽寺、放光寺</t>
  </si>
  <si>
    <t>白州周辺</t>
  </si>
  <si>
    <t>https://connect.garmin.com/app/activity/3553430934</t>
  </si>
  <si>
    <t>わに塚の桜、関の桜、槇原桜並木、実相寺、ホタル親水公園</t>
  </si>
  <si>
    <t>武蔵国分寺の桜</t>
  </si>
  <si>
    <t>真姿の池、お鷹の道、武蔵国分寺跡</t>
  </si>
  <si>
    <t>https://connect.garmin.com/app/activity/3573272393</t>
  </si>
  <si>
    <t>上野公園、トーハク、根津神社、六義園、巣鴨</t>
  </si>
  <si>
    <t>正丸峠まで</t>
  </si>
  <si>
    <t>https://connect.garmin.com/app/activity/3575591085</t>
  </si>
  <si>
    <t>小沢峠[342m]、山伏峠[621m]、正丸峠[640m]</t>
  </si>
  <si>
    <t>角島、千畳敷</t>
  </si>
  <si>
    <t>https://connect.garmin.com/app/activity/3598989349</t>
  </si>
  <si>
    <t>みのりロード、角島、元乃隅稲成神社、千畳敷</t>
  </si>
  <si>
    <t>瓶ヶ森林道</t>
  </si>
  <si>
    <t>https://connect.garmin.com/app/activity/3607368641</t>
  </si>
  <si>
    <t>瓶ヶ森林道、UFOライン、吉野川源流の碑[1668m]</t>
  </si>
  <si>
    <t>剣山、大歩危小歩危</t>
  </si>
  <si>
    <t>https://connect.garmin.com/app/activity/3610786622</t>
  </si>
  <si>
    <t>見ノ越、奥祖谷二重かずら橋、落合集落、大歩危、小歩危</t>
  </si>
  <si>
    <t>剣山スーパー林道</t>
  </si>
  <si>
    <t>https://connect.garmin.com/app/activity/3613504573</t>
  </si>
  <si>
    <t>岩倉分岐、徳島のへそ、ファガズの森、大釜の滝、大轟の滝</t>
  </si>
  <si>
    <t>安倍峠</t>
  </si>
  <si>
    <t>https://connect.garmin.com/app/activity/3641718200</t>
  </si>
  <si>
    <t>興津、梅ヶ島温泉、安倍峠[1416m]</t>
  </si>
  <si>
    <t>09:30</t>
  </si>
  <si>
    <t>https://connect.garmin.com/app/activity/3658868638</t>
  </si>
  <si>
    <t>六義園</t>
  </si>
  <si>
    <t>https://connect.garmin.com/app/activity/3662898354</t>
  </si>
  <si>
    <t>巣鴨、旧古河庭園、六義園、鬼子母神</t>
  </si>
  <si>
    <t>https://connect.garmin.com/app/activity/3685008389</t>
  </si>
  <si>
    <t>有間峠[1142m]</t>
  </si>
  <si>
    <t>中津川林道</t>
  </si>
  <si>
    <t>https://connect.garmin.com/app/activity/3752974529</t>
  </si>
  <si>
    <t>野辺山駅、川上村、馬越峠[1606m]、林道「相木川上線」、中津川林道</t>
  </si>
  <si>
    <t>https://connect.garmin.com/app/activity/3806202435</t>
  </si>
  <si>
    <t>東慶寺、浄智寺、長寿寺、亀ヶ谷坂、海蔵寺、英勝寺、浄光明寺、光明寺、極楽寺、力餅家</t>
  </si>
  <si>
    <t>白布峠</t>
  </si>
  <si>
    <t>https://connect.garmin.com/app/activity/24092680593</t>
  </si>
  <si>
    <t>喜多方市街、上杉神社、白布峠[1404m]</t>
  </si>
  <si>
    <t>大弛峠と夢の庭園</t>
  </si>
  <si>
    <t>https://connect.garmin.com/app/activity/3890363465</t>
  </si>
  <si>
    <t>06:30</t>
  </si>
  <si>
    <t>男体山周回</t>
  </si>
  <si>
    <t>https://connect.garmin.com/app/activity/3947641272</t>
  </si>
  <si>
    <t>林道「裏男体線」、志津峠[1785m]、林道「志津線」、林道「野洲原線」、いろは坂、中禅寺湖、戦場ヶ原</t>
  </si>
  <si>
    <t>千手ヶ浜</t>
  </si>
  <si>
    <t>戦場ヶ原、小田代ヶ原、千手ヶ浜</t>
  </si>
  <si>
    <t>上高地</t>
  </si>
  <si>
    <t>https://connect.garmin.com/app/activity/4005063125</t>
  </si>
  <si>
    <t>上高地、明神池</t>
  </si>
  <si>
    <t>足柄峠とその他峠</t>
  </si>
  <si>
    <t>https://connect.garmin.com/app/activity/4011767977</t>
  </si>
  <si>
    <t>足柄峠[759m]、籠坂峠[1104m]、山中湖、三国峠[1168m]、明神峠[895m]、長尾峠[911m]、林道足柄幹線</t>
  </si>
  <si>
    <t>御荷鉾スーパー林道を途中まで</t>
  </si>
  <si>
    <t>https://connect.garmin.com/app/activity/4035828945</t>
  </si>
  <si>
    <t>塩ノ沢峠[1060m]、御荷鉾スーパー林道</t>
  </si>
  <si>
    <t>大弛峠サイクリング、朝日岳登山</t>
  </si>
  <si>
    <t>https://connect.garmin.com/app/activity/4062883628</t>
  </si>
  <si>
    <t>道の駅「道の駅 花かげの郷 まきおか」、大弛峠[2360m]、朝日岳[2579m]</t>
  </si>
  <si>
    <t>城南島</t>
  </si>
  <si>
    <t>https://connect.garmin.com/app/activity/4171374295</t>
  </si>
  <si>
    <t>城南島、丸の内</t>
  </si>
  <si>
    <t>https://connect.garmin.com/app/activity/4211915003</t>
  </si>
  <si>
    <t>羽村市動物公園</t>
  </si>
  <si>
    <t>パノラマ台</t>
  </si>
  <si>
    <t>https://connect.garmin.com/app/activity/4211915036</t>
  </si>
  <si>
    <t>https://connect.garmin.com/app/activity/4233128751</t>
  </si>
  <si>
    <t>道の駅「湯西川」、土呂部、平家の里</t>
  </si>
  <si>
    <t>矢ノ原湿原</t>
  </si>
  <si>
    <t>https://connect.garmin.com/app/activity/4233128790</t>
  </si>
  <si>
    <t>道の駅「からむし織の里しょうわ」、矢ノ原湿原、旧喰丸小学校</t>
  </si>
  <si>
    <t>先手ヶ浜</t>
  </si>
  <si>
    <t>https://connect.garmin.com/app/activity/4233128850</t>
  </si>
  <si>
    <t>富士河口湖</t>
  </si>
  <si>
    <t>https://connect.garmin.com/app/activity/4294609465</t>
  </si>
  <si>
    <t>https://connect.garmin.com/app/activity/4294609489</t>
  </si>
  <si>
    <t>飯能市・東郷公園</t>
  </si>
  <si>
    <t>https://connect.garmin.com/app/activity/4298624752</t>
  </si>
  <si>
    <t>東郷公園</t>
  </si>
  <si>
    <t>飯能市 ・能仁寺</t>
  </si>
  <si>
    <t>https://connect.garmin.com/app/activity/4298624779</t>
  </si>
  <si>
    <t>能仁寺</t>
  </si>
  <si>
    <t>平林寺</t>
  </si>
  <si>
    <t>https://connect.garmin.com/app/activity/4298624793</t>
  </si>
  <si>
    <t>三渓園</t>
  </si>
  <si>
    <t>https://connect.garmin.com/app/activity/4334538109</t>
  </si>
  <si>
    <t>https://connect.garmin.com/app/activity/4334538151</t>
  </si>
  <si>
    <t>東京駅、神宮外苑</t>
  </si>
  <si>
    <t>成田空港</t>
  </si>
  <si>
    <t>https://connect.garmin.com/app/activity/4353563430</t>
  </si>
  <si>
    <t>https://connect.garmin.com/app/activity/4421499539</t>
  </si>
  <si>
    <t>巌流島、唐戸</t>
  </si>
  <si>
    <t>唐戸、巌流島、赤間神宮、関門トンネル人道</t>
  </si>
  <si>
    <t>掛川から島田まで</t>
  </si>
  <si>
    <t>https://connect.garmin.com/app/activity/4428441086</t>
  </si>
  <si>
    <t>掛川城、日坂宿、小屋の中山、菊川坂、金谷坂、ふじのくに茶の都ミュージアム、牧ノ原台地の金谷茶畑、牧ノ原台公園、大井川の川越、蓬莱橋</t>
  </si>
  <si>
    <t>若洲海浜公園など</t>
  </si>
  <si>
    <t>https://connect.garmin.com/app/activity/4472679489</t>
  </si>
  <si>
    <t>若洲海浜公園、豊洲ぐるり公園、銀座、丸の内</t>
  </si>
  <si>
    <t>房総の素掘りのトンネルと笠森観音</t>
  </si>
  <si>
    <t>https://connect.garmin.com/app/activity/4476107074</t>
  </si>
  <si>
    <t>柿木台第一トンネル、永昌寺トンネル、チバニアン、月崎トンネル、共栄・向山トンネル、笠森観音</t>
  </si>
  <si>
    <t>07:00</t>
  </si>
  <si>
    <t>道の駅から大弛峠、金峰山登山</t>
  </si>
  <si>
    <t>https://yamap.com/activities/10173918</t>
  </si>
  <si>
    <t>道の駅「道の駅 花かげの郷 まきおか」、大弛峠[2360m]、金峰山[2599m]</t>
  </si>
  <si>
    <t>11:31</t>
  </si>
  <si>
    <t>後山林道から雲取山へ</t>
  </si>
  <si>
    <t>https://yamap.com/activities/10173903</t>
  </si>
  <si>
    <t>後山林道、雲取山[2017m]</t>
  </si>
  <si>
    <t>雲取山</t>
  </si>
  <si>
    <t>鷹ノ巣山</t>
  </si>
  <si>
    <t>https://yamap.com/activities/10173874</t>
  </si>
  <si>
    <t>鷹ノ巣山[1737m]</t>
  </si>
  <si>
    <t>06:51</t>
  </si>
  <si>
    <t>笠取山</t>
  </si>
  <si>
    <t>https://yamap.com/activities/10173832</t>
  </si>
  <si>
    <t>笠取山[1953m]</t>
  </si>
  <si>
    <t>06:57</t>
  </si>
  <si>
    <t>乗鞍岳（剣ヶ峰）</t>
  </si>
  <si>
    <t>https://yamap.com/activities/10174898</t>
  </si>
  <si>
    <t>乗鞍高原、乗鞍エコーライン、畳平[2702m]、剣ヶ峰[3026m]、乗鞍高原</t>
  </si>
  <si>
    <t>北アルプス</t>
  </si>
  <si>
    <t>07:27</t>
  </si>
  <si>
    <t>浅草岳</t>
  </si>
  <si>
    <t>https://yamap.com/activities/10173982</t>
  </si>
  <si>
    <t>浅草岳[1585m]</t>
  </si>
  <si>
    <t>06:18</t>
  </si>
  <si>
    <t>なちゃぎり林道から高水山・岩茸石山へ</t>
  </si>
  <si>
    <t>https://yamap.com/activities/10173765</t>
  </si>
  <si>
    <t>なちゃぎり林道、高水山[759m]、岩茸石山[793m]</t>
  </si>
  <si>
    <t>01:39</t>
  </si>
  <si>
    <t>e-bike</t>
  </si>
  <si>
    <t>Topstone Neo Carbon 4</t>
  </si>
  <si>
    <t>林道大岳線から大岳山へ</t>
  </si>
  <si>
    <t>https://yamap.com/activities/9723220</t>
  </si>
  <si>
    <t>林道大岳線、大岳山[1266m]</t>
  </si>
  <si>
    <t>04:43</t>
  </si>
  <si>
    <t>岩茸石山に寄って棒ノ折山へ</t>
  </si>
  <si>
    <t>https://yamap.com/activities/9782151</t>
  </si>
  <si>
    <t>岩茸石山[793m]、棒ノ折山[969m]</t>
  </si>
  <si>
    <t>05:27</t>
  </si>
  <si>
    <t>真名井林道から川苔山へ</t>
  </si>
  <si>
    <t>https://yamap.com/activities/9836913</t>
  </si>
  <si>
    <t>真名井林道、川苔山[1363m]</t>
  </si>
  <si>
    <t>03:10</t>
  </si>
  <si>
    <t>赤指山から雲取山へ</t>
  </si>
  <si>
    <t>https://yamap.com/activities/9999240</t>
  </si>
  <si>
    <t>赤指山[1333m]、雲取山[2017m]</t>
  </si>
  <si>
    <t>高川山</t>
  </si>
  <si>
    <t>https://yamap.com/activities/10038385</t>
  </si>
  <si>
    <t>高川山[976m]</t>
  </si>
  <si>
    <t>04:32</t>
  </si>
  <si>
    <t>https://yamap.com/activities/10135752</t>
  </si>
  <si>
    <t>雲取山[2017m]</t>
  </si>
  <si>
    <t>06:44</t>
  </si>
  <si>
    <t>石割山・大平山</t>
  </si>
  <si>
    <t>https://yamap.com/activities/10242832</t>
  </si>
  <si>
    <t>石割山[1412m]、大平山[1296m]</t>
  </si>
  <si>
    <t>02:28</t>
  </si>
  <si>
    <t>金時山・長尾山</t>
  </si>
  <si>
    <t>https://yamap.com/activities/10292593</t>
  </si>
  <si>
    <t>金時山[1212m]、長尾山[1144m]</t>
  </si>
  <si>
    <t>03:46</t>
  </si>
  <si>
    <t>富田新道から雲取山へ</t>
  </si>
  <si>
    <t>https://yamap.com/activities/10805050</t>
  </si>
  <si>
    <t>富田新道、雲取山[2017m]</t>
  </si>
  <si>
    <t>06:07</t>
  </si>
  <si>
    <t>天女山から権現岳へ</t>
  </si>
  <si>
    <t>https://yamap.com/activities/11336362</t>
  </si>
  <si>
    <t xml:space="preserve">
天女山登山口、天女山[1531m]、権現岳[2715m]、
天女山登山口</t>
  </si>
  <si>
    <t>08:29</t>
  </si>
  <si>
    <t>青木鉱泉から鳳凰三山へ</t>
  </si>
  <si>
    <t>https://yamap.com/activities/11437420</t>
  </si>
  <si>
    <t>青木鉱泉、地蔵岳[2764m]、観音岳[2841m]、薬師岳[2780m]、青木鉱泉</t>
  </si>
  <si>
    <t>南アルプス</t>
  </si>
  <si>
    <t>11:23</t>
  </si>
  <si>
    <t>大弛峠越えのついでに夢の庭園へ</t>
  </si>
  <si>
    <t>https://yamap.com/activities/11547026</t>
  </si>
  <si>
    <t>00:38</t>
  </si>
  <si>
    <t>本沢温泉の方から硫黄岳へ</t>
  </si>
  <si>
    <t>https://yamap.com/activities/11693375</t>
  </si>
  <si>
    <t>稲子湯唐沢橋登山口駐車場、本沢温泉、夏沢峠[2429m]、硫黄岳[2760m]、稲子湯唐沢橋登山口駐車場</t>
  </si>
  <si>
    <t>10:28</t>
  </si>
  <si>
    <t>天狗岳から白駒池へ</t>
  </si>
  <si>
    <t>https://yamap.com/activities/11803136</t>
  </si>
  <si>
    <t>天狗岳[2646m]、白駒池</t>
  </si>
  <si>
    <t>08:14</t>
  </si>
  <si>
    <t>裸山・櫛形山</t>
  </si>
  <si>
    <t>https://yamap.com/activities/11884488</t>
  </si>
  <si>
    <t>裸山[2003m]、櫛形山[2052m]</t>
  </si>
  <si>
    <t>03:22</t>
  </si>
  <si>
    <t>荒幡富士</t>
  </si>
  <si>
    <t>https://yamap.com/activities/11975774</t>
  </si>
  <si>
    <t>荒幡富士、多摩湖</t>
  </si>
  <si>
    <t>00:08</t>
  </si>
  <si>
    <t>秋葉山</t>
  </si>
  <si>
    <t>https://yamap.com/activities/12029522</t>
  </si>
  <si>
    <t>秋葉山[866m]</t>
  </si>
  <si>
    <t>01:00</t>
  </si>
  <si>
    <t>女峰山・帝釈山</t>
  </si>
  <si>
    <t>https://yamap.com/activities/12130207</t>
  </si>
  <si>
    <t>女峰山[2483m]、帝釈山[2455m]、富士見峠[2036m]</t>
  </si>
  <si>
    <t>08:51</t>
  </si>
  <si>
    <t>戦場ヶ原・千手ヶ浜・小田代ヶ原</t>
  </si>
  <si>
    <t>https://yamap.com/activities/12160051</t>
  </si>
  <si>
    <t>湯川、戦場ヶ原、千手ヶ浜、小田代ヶ原</t>
  </si>
  <si>
    <t>03:23</t>
  </si>
  <si>
    <t>松手山・平標山・仙ノ倉山</t>
  </si>
  <si>
    <t>https://yamap.com/activities/12230188</t>
  </si>
  <si>
    <t>松手山[1614m]、平標山[1984m]、仙ノ倉山[2026m]</t>
  </si>
  <si>
    <t>07:42</t>
  </si>
  <si>
    <t>巻機山</t>
  </si>
  <si>
    <t>https://yamap.com/activities/12267522</t>
  </si>
  <si>
    <t>巻機山[1967m]</t>
  </si>
  <si>
    <t>08:21</t>
  </si>
  <si>
    <t>神楽ヶ峰・苗場山</t>
  </si>
  <si>
    <t>https://yamap.com/activities/12297354</t>
  </si>
  <si>
    <t>苗場山[2145m]</t>
  </si>
  <si>
    <t>08:03</t>
  </si>
  <si>
    <t>https://yamap.com/activities/12339953</t>
  </si>
  <si>
    <t>01:53</t>
  </si>
  <si>
    <t>常念岳・蝶ヶ岳</t>
  </si>
  <si>
    <t>https://yamap.com/activities/12759191</t>
  </si>
  <si>
    <t>三俣、前常念岳[2662m]、常念小屋、常念岳[2857m]、蝶ヶ岳[2677m]、三俣</t>
  </si>
  <si>
    <t>16:07</t>
  </si>
  <si>
    <t>焼岳(北峰)</t>
  </si>
  <si>
    <t>https://yamap.com/activities/13122597</t>
  </si>
  <si>
    <t>焼岳[2455m]、上高地</t>
  </si>
  <si>
    <t>05:01</t>
  </si>
  <si>
    <t>https://yamap.com/activities/13278897</t>
  </si>
  <si>
    <t>道の駅「みょうぎ」から佐久へサイクリング</t>
  </si>
  <si>
    <t>https://yamap.com/activities/13248236</t>
  </si>
  <si>
    <t>道の駅「みょうぎ」、中之岳神社、碓氷峠のめがね橋、龍岡城址</t>
  </si>
  <si>
    <t>一ノ沢登山口から常念岳へ（常念小屋宿泊）</t>
  </si>
  <si>
    <t>https://yamap.com/activities/13407550</t>
  </si>
  <si>
    <t>常念岳[2857m]、常念小屋</t>
  </si>
  <si>
    <t>常念小屋から燕山荘へ</t>
  </si>
  <si>
    <t>https://yamap.com/activities/13458770</t>
  </si>
  <si>
    <t>常念小屋、大天井岳[2922m]・燕山荘</t>
  </si>
  <si>
    <t>07:31</t>
  </si>
  <si>
    <t>燕岳</t>
  </si>
  <si>
    <t>https://yamap.com/activities/13493178</t>
  </si>
  <si>
    <t>燕山荘、燕岳[2763m]、中房温泉</t>
  </si>
  <si>
    <t>03:26</t>
  </si>
  <si>
    <t>御岳山・鍋割山</t>
  </si>
  <si>
    <t>https://yamap.com/activities/13628176</t>
  </si>
  <si>
    <t>大岳山[1266m]・御岳山[929m]・御前山(東京、山梨)</t>
  </si>
  <si>
    <t>05:48</t>
  </si>
  <si>
    <t>破風岳・土鍋山の登山は断念して渋峠へ</t>
  </si>
  <si>
    <t>https://yamap.com/activities/13721316</t>
  </si>
  <si>
    <t>05:54</t>
  </si>
  <si>
    <t>蓼科湖と横谷峡を散策</t>
  </si>
  <si>
    <t>https://yamap.com/activities/13820073</t>
  </si>
  <si>
    <t>蓼科湖、横谷峡、御射鹿池</t>
  </si>
  <si>
    <t>麦草峠サイクリング</t>
  </si>
  <si>
    <t>https://yamap.com/activities/13849622</t>
  </si>
  <si>
    <t>白駒池、麦草峠[2127m]</t>
  </si>
  <si>
    <t>03:19</t>
  </si>
  <si>
    <t>三頭山</t>
  </si>
  <si>
    <t>https://yamap.com/activities/13967282</t>
  </si>
  <si>
    <t>三頭山[1531m]</t>
  </si>
  <si>
    <t>04:51</t>
  </si>
  <si>
    <t>ハイキング</t>
  </si>
  <si>
    <t>高瀬ダムとその周辺の紅葉散策</t>
  </si>
  <si>
    <t>https://yamap.com/activities/14032756</t>
  </si>
  <si>
    <t>高瀬ダム</t>
  </si>
  <si>
    <t>03:13</t>
  </si>
  <si>
    <t>瑞牆山登山と林道サイクリング</t>
  </si>
  <si>
    <t>https://yamap.com/activities/14063955</t>
  </si>
  <si>
    <t>瑞牆山[2230m]</t>
  </si>
  <si>
    <t>07:52</t>
  </si>
  <si>
    <t>乾徳山ついでに徳和渓谷</t>
  </si>
  <si>
    <t>https://yamap.com/activities/14159534</t>
  </si>
  <si>
    <t>乾徳山[2031m]、徳和渓谷</t>
  </si>
  <si>
    <t>05:03</t>
  </si>
  <si>
    <t>大菩薩嶺</t>
  </si>
  <si>
    <t>https://yamap.com/activities/14260750</t>
  </si>
  <si>
    <t>大菩薩嶺[2057m]</t>
  </si>
  <si>
    <t>05:19</t>
  </si>
  <si>
    <t>御岳渓谷・鳩ノ巣渓谷</t>
  </si>
  <si>
    <t>https://yamap.com/activities/14308427</t>
  </si>
  <si>
    <t>御岳渓谷、鳩ノ巣渓谷</t>
  </si>
  <si>
    <t>09:26</t>
  </si>
  <si>
    <t>小鹿野アルプス</t>
  </si>
  <si>
    <t>https://yamap.com/activities/14391145</t>
  </si>
  <si>
    <t>06:54</t>
  </si>
  <si>
    <t>白谷ノ丸・白谷小丸・大蔵高丸とついでに林道</t>
  </si>
  <si>
    <t>https://yamap.com/activities/14464965</t>
  </si>
  <si>
    <t>白谷ノ丸[1920m]、白谷小丸[1895m]、大蔵高丸[1781m]</t>
  </si>
  <si>
    <t>道坂隧道から今倉山・赤岩・二十六夜山へ</t>
  </si>
  <si>
    <t>https://yamap.com/activities/14530351</t>
  </si>
  <si>
    <t>今倉山[1470m]、赤岩、二十六夜山[972m]</t>
  </si>
  <si>
    <t>06:21</t>
  </si>
  <si>
    <t>https://yamap.com/activities/14557430</t>
  </si>
  <si>
    <t>04:33</t>
  </si>
  <si>
    <t>🚶🚲</t>
  </si>
  <si>
    <t>小石川後楽園と殿ヶ谷戸庭園</t>
  </si>
  <si>
    <t>https://yamap.com/activities/14636178</t>
  </si>
  <si>
    <t>小石川後楽園、殿ヶ谷戸庭園</t>
  </si>
  <si>
    <t>04:11</t>
  </si>
  <si>
    <t>猿橋駅から御前山・九鬼山に登って禾生駅へ</t>
  </si>
  <si>
    <t>https://yamap.com/activities/14650930</t>
  </si>
  <si>
    <t>御前山[776m]、九鬼山[970m]</t>
  </si>
  <si>
    <t>04:40</t>
  </si>
  <si>
    <t>高川山・峯山・オキ山・むすび山</t>
  </si>
  <si>
    <t>https://yamap.com/activities/14734150</t>
  </si>
  <si>
    <t>高川山[976m]、峯山[584m]、オキ山[513m]、むすび山[463m]</t>
  </si>
  <si>
    <t>05:32</t>
  </si>
  <si>
    <t>赤ぼっこと二つ塚</t>
  </si>
  <si>
    <t>https://yamap.com/activities/14763691</t>
  </si>
  <si>
    <t>赤ぼっこ、二つ塚</t>
  </si>
  <si>
    <t>06:14</t>
  </si>
  <si>
    <t>房総半島の鋸山周辺の林道を散策</t>
  </si>
  <si>
    <t>https://yamap.com/activities/14827144</t>
  </si>
  <si>
    <t>鋸山[329m]</t>
  </si>
  <si>
    <t>07:55</t>
  </si>
  <si>
    <t>東京の山2つ登山</t>
  </si>
  <si>
    <t>https://yamap.com/activities/14850549</t>
  </si>
  <si>
    <t>佐伯山[25.134m]、大倉山[15.154m]、戸越銀座、新宿</t>
  </si>
  <si>
    <t>06:41</t>
  </si>
  <si>
    <t>霜降岳・男山・観音岳</t>
  </si>
  <si>
    <t>https://yamap.com/activities/14970016</t>
  </si>
  <si>
    <t>霜降岳[250m]、男山[232m]、観音岳[161m]</t>
  </si>
  <si>
    <t>2022年初サイクリング</t>
  </si>
  <si>
    <t>https://yamap.com/activities/15019774</t>
  </si>
  <si>
    <t>府中</t>
  </si>
  <si>
    <t>02:15</t>
  </si>
  <si>
    <t>https://yamap.com/activities/15029594</t>
  </si>
  <si>
    <t>多摩丘陵の多摩動物公園</t>
  </si>
  <si>
    <t>https://yamap.com/activities/15058264</t>
  </si>
  <si>
    <t>多摩動物公園</t>
  </si>
  <si>
    <t>04:58</t>
  </si>
  <si>
    <t>日和田山</t>
  </si>
  <si>
    <t>https://yamap.com/activities/15082423</t>
  </si>
  <si>
    <t>日和田山[305m]</t>
  </si>
  <si>
    <t>再び多摩丘陵の多摩動物公園へ</t>
  </si>
  <si>
    <t>https://yamap.com/activities/15152424</t>
  </si>
  <si>
    <t>04:30</t>
  </si>
  <si>
    <t>https://yamap.com/activities/15195627</t>
  </si>
  <si>
    <t>09:13</t>
  </si>
  <si>
    <t>https://yamap.com/activities/15228341</t>
  </si>
  <si>
    <t>12:23</t>
  </si>
  <si>
    <t>https://yamap.com/activities/15344660</t>
  </si>
  <si>
    <t>08:43</t>
  </si>
  <si>
    <t>扇山と百蔵山</t>
  </si>
  <si>
    <t>https://yamap.com/activities/15428806</t>
  </si>
  <si>
    <t>扇山[1138m]、百蔵山[1003m]</t>
  </si>
  <si>
    <t>06:23</t>
  </si>
  <si>
    <t>https://yamap.com/activities/15472792</t>
  </si>
  <si>
    <t>新宿、日本橋、東京駅</t>
  </si>
  <si>
    <t>07:22</t>
  </si>
  <si>
    <t>御前山・大岳山</t>
  </si>
  <si>
    <t>https://yamap.com/activities/15535370</t>
  </si>
  <si>
    <t>御前山[1405m]、大岳山[1266m]</t>
  </si>
  <si>
    <t>07:07</t>
  </si>
  <si>
    <t>要害山・風の神・コヤシロ山・実成山・尾続山</t>
  </si>
  <si>
    <t>https://yamap.com/activities/15558021</t>
  </si>
  <si>
    <t>要害山[536m]、風の神、コヤシロ山[592m]、実成山[609m]・尾続山[538m]</t>
  </si>
  <si>
    <t>02:43</t>
  </si>
  <si>
    <t>陣馬山・景信山・城山(小仏城山)・高尾山</t>
  </si>
  <si>
    <t>https://yamap.com/activities/15632125</t>
  </si>
  <si>
    <t>陣馬山[857m]、景信山[727m]、高尾山[599m]</t>
  </si>
  <si>
    <t>07:05</t>
  </si>
  <si>
    <t>e-bikeで一泊二日イズイチ（一日目）</t>
  </si>
  <si>
    <t>https://yamap.com/activities/15677402</t>
  </si>
  <si>
    <t>道の駅「伊豆のへそ」、、白浜神社、下田、竜宮窟、青野川、JU-ZA</t>
  </si>
  <si>
    <t>e-bikeで一泊二日イズイチ（二日目）</t>
  </si>
  <si>
    <t>https://yamap.com/activities/15694718</t>
  </si>
  <si>
    <t>JU-ZA、土肥、道の駅「伊豆のへそ」</t>
  </si>
  <si>
    <t>04:59</t>
  </si>
  <si>
    <t>高畑山・倉岳山</t>
  </si>
  <si>
    <t>https://yamap.com/activities/15764205</t>
  </si>
  <si>
    <t>高畑山[982m]、倉岳山[990m]</t>
  </si>
  <si>
    <t>再びイズイチ</t>
  </si>
  <si>
    <t>https://yamap.com/activities/15824385</t>
  </si>
  <si>
    <t>道の駅「伊豆のへそ」、河津町、南伊豆、松崎町</t>
  </si>
  <si>
    <t>12:49</t>
  </si>
  <si>
    <t>百蔵山</t>
  </si>
  <si>
    <t>https://yamap.com/activities/15866769</t>
  </si>
  <si>
    <t>百蔵山[1003m]</t>
  </si>
  <si>
    <t>権現山・曽倉山・扇山</t>
  </si>
  <si>
    <t>https://yamap.com/activities/15902120</t>
  </si>
  <si>
    <t>権現山[1312m]、曽倉山[940m]、扇山[1138m]</t>
  </si>
  <si>
    <t>05:53</t>
  </si>
  <si>
    <t>河津町の河津桜とついでに林道サイクリング</t>
  </si>
  <si>
    <t>https://yamap.com/activities/15981511</t>
  </si>
  <si>
    <t>南伊豆町の河津桜</t>
  </si>
  <si>
    <t>https://yamap.com/activities/15995940</t>
  </si>
  <si>
    <t>青野川</t>
  </si>
  <si>
    <t>01:33</t>
  </si>
  <si>
    <t>https://yamap.com/activities/16091245</t>
  </si>
  <si>
    <t>07:25</t>
  </si>
  <si>
    <t>越生梅林と弓立山などサイクリング</t>
  </si>
  <si>
    <t>https://yamap.com/activities/16138585</t>
  </si>
  <si>
    <t>越生梅林、弓立山[423m]</t>
  </si>
  <si>
    <t>06:48</t>
  </si>
  <si>
    <t>足柄峠・長尾峠・「はこね金太郎ライン」サイクリング</t>
  </si>
  <si>
    <t>https://yamap.com/activities/16199017</t>
  </si>
  <si>
    <t>足柄峠[759m]、長尾峠[911m]</t>
  </si>
  <si>
    <t>05:31</t>
  </si>
  <si>
    <t>要害山トレッキングコース</t>
  </si>
  <si>
    <t>https://yamap.com/activities/16223668</t>
  </si>
  <si>
    <t>04:24</t>
  </si>
  <si>
    <t>早春の埼玉サイクリング</t>
  </si>
  <si>
    <t>https://yamap.com/activities/16273178</t>
  </si>
  <si>
    <t>北浅羽桜堤公園</t>
  </si>
  <si>
    <t>https://yamap.com/activities/16317153</t>
  </si>
  <si>
    <t>浅草、アメ横、上野公園</t>
  </si>
  <si>
    <t>02:18</t>
  </si>
  <si>
    <t>https://yamap.com/activities/16337411</t>
  </si>
  <si>
    <t>目黒川、神田川、小石川後楽園、靖国神社、皇居、吞川緑道、豪徳寺、野川</t>
  </si>
  <si>
    <t>10:56</t>
  </si>
  <si>
    <t>都幾川桜堤、虎山の千本桜、花桃の里、大霧山、堂平山</t>
  </si>
  <si>
    <t>https://yamap.com/activities/16443639</t>
  </si>
  <si>
    <t>都幾川桜堤、虎山の千本桜、花桃の里、大霧山[767m]、堂平山[876m]</t>
  </si>
  <si>
    <t>09:37</t>
  </si>
  <si>
    <t>秩父・清雲寺の桜</t>
  </si>
  <si>
    <t>https://yamap.com/activities/16453024</t>
  </si>
  <si>
    <t>清雲寺</t>
  </si>
  <si>
    <t>02:39</t>
  </si>
  <si>
    <t>https://yamap.com/activities/16570543</t>
  </si>
  <si>
    <t>羽村の根搦み前水田</t>
  </si>
  <si>
    <t>05:41</t>
  </si>
  <si>
    <t>蓑山（美の山公園）サイクリング</t>
  </si>
  <si>
    <t>https://yamap.com/activities/16616932</t>
  </si>
  <si>
    <t>蓑山[581m]、定峰峠[613m]、白石峠[761m]、奥武蔵グリーンライン</t>
  </si>
  <si>
    <t>13:42</t>
  </si>
  <si>
    <t>日向山</t>
  </si>
  <si>
    <t>https://yamap.com/activities/16671097</t>
  </si>
  <si>
    <t>日向山[1660m]</t>
  </si>
  <si>
    <t>02:59</t>
  </si>
  <si>
    <t>https://yamap.com/activities/16697331</t>
  </si>
  <si>
    <t>羊山公園</t>
  </si>
  <si>
    <t>01:09</t>
  </si>
  <si>
    <t>e-bikeで草津から渋峠へ</t>
  </si>
  <si>
    <t>https://yamap.com/activities/16833432</t>
  </si>
  <si>
    <t>吾妻峡と八ッ場ダム</t>
  </si>
  <si>
    <t>https://yamap.com/activities/16845214</t>
  </si>
  <si>
    <t>吾妻峡、八ッ場ダム</t>
  </si>
  <si>
    <t>02:09</t>
  </si>
  <si>
    <t>城下町萩をサイクリング</t>
  </si>
  <si>
    <t>https://yamap.com/activities/16944751</t>
  </si>
  <si>
    <t>萩城下町、松陰神社、東光寺</t>
  </si>
  <si>
    <t>西目山と右田ヶ岳</t>
  </si>
  <si>
    <t>https://yamap.com/activities/16964542</t>
  </si>
  <si>
    <t>西目山[312m]、右田ヶ岳[426m]</t>
  </si>
  <si>
    <t>仙崎から角島へサイクリング</t>
  </si>
  <si>
    <t>https://yamap.com/activities/17033333</t>
  </si>
  <si>
    <t>角島、元乃隅神社、道の駅「センザキッチン」</t>
  </si>
  <si>
    <t>07:33</t>
  </si>
  <si>
    <t>関門海峡</t>
  </si>
  <si>
    <t>https://yamap.com/activities/17021511</t>
  </si>
  <si>
    <t>巌流島、関門トンネル人道、門司港</t>
  </si>
  <si>
    <t>04:37</t>
  </si>
  <si>
    <t>https://yamap.com/activities/17072904</t>
  </si>
  <si>
    <t>竜王山[139m]</t>
  </si>
  <si>
    <t>00:11</t>
  </si>
  <si>
    <t>十種ヶ峰</t>
  </si>
  <si>
    <t>https://yamap.com/activities/17114677</t>
  </si>
  <si>
    <t>十種ヶ峰[989m]</t>
  </si>
  <si>
    <t>00:58</t>
  </si>
  <si>
    <t>花尾山</t>
  </si>
  <si>
    <t>https://yamap.com/activities/17157407</t>
  </si>
  <si>
    <t>花尾山[669m]</t>
  </si>
  <si>
    <t>02:05</t>
  </si>
  <si>
    <t>https://yamap.com/activities/17241475</t>
  </si>
  <si>
    <t>日米友好祭横田基地フレンドシップフェスティバル2022</t>
  </si>
  <si>
    <t>https://yamap.com/activities/17451642</t>
  </si>
  <si>
    <t>横田基地</t>
  </si>
  <si>
    <t>02:12</t>
  </si>
  <si>
    <t>e-bikeで琴川ダムから金峰山へ</t>
  </si>
  <si>
    <t>https://yamap.com/activities/17494652</t>
  </si>
  <si>
    <t>大弛峠[2360m]、金峰山[2599m]</t>
  </si>
  <si>
    <t>08:49</t>
  </si>
  <si>
    <t>一部e-bikeを使って天狗岳と硫黄岳を周回</t>
  </si>
  <si>
    <t>https://yamap.com/activities/17601677</t>
  </si>
  <si>
    <t>天狗岳[2646m]、硫黄岳[2760m]</t>
  </si>
  <si>
    <t>10:14</t>
  </si>
  <si>
    <t>アコウ平から金峰山へ登って周回</t>
  </si>
  <si>
    <t>https://yamap.com/activities/17761423</t>
  </si>
  <si>
    <t>アコウ平、大弛峠[2360m]、金峰山[2599m]、クリスタルライン</t>
  </si>
  <si>
    <t>11:29</t>
  </si>
  <si>
    <t>蝶ヶ岳</t>
  </si>
  <si>
    <t>https://yamap.com/activities/17844211</t>
  </si>
  <si>
    <t>蝶ヶ岳[2677m]</t>
  </si>
  <si>
    <t>08:35</t>
  </si>
  <si>
    <t>鎌倉、江の島</t>
  </si>
  <si>
    <t>https://yamap.com/activities/17958557</t>
  </si>
  <si>
    <t>08:33</t>
  </si>
  <si>
    <t>https://yamap.com/activities/17980648</t>
  </si>
  <si>
    <t>乙女湖、大弛峠[2360m]、金峰山[2599m]</t>
  </si>
  <si>
    <t>平標山と仙ノ倉山</t>
  </si>
  <si>
    <t>https://yamap.com/activities/18115279</t>
  </si>
  <si>
    <t>平標山[1984m]、仙ノ倉山[2026m]</t>
  </si>
  <si>
    <t>中房温泉から燕岳・北燕岳</t>
  </si>
  <si>
    <t>https://yamap.com/activities/18220320</t>
  </si>
  <si>
    <t>燕岳[2763m]、北燕岳[2749m]、燕山荘</t>
  </si>
  <si>
    <t>燕山荘から常念小屋へ</t>
  </si>
  <si>
    <t>https://yamap.com/activities/18242925</t>
  </si>
  <si>
    <t>燕山荘、大天井岳[2922m]、常念小屋</t>
  </si>
  <si>
    <t>07:45</t>
  </si>
  <si>
    <t>常念岳・前常念岳</t>
  </si>
  <si>
    <t>https://yamap.com/activities/18274904</t>
  </si>
  <si>
    <t>常念小屋、常念岳[2857m]、前常念岳[2662m]、三俣</t>
  </si>
  <si>
    <t>北軽井沢へサイクリング</t>
  </si>
  <si>
    <t>https://yamap.com/activities/18345261</t>
  </si>
  <si>
    <t>道の駅「くらぶち小栗の里」、度上峠[1380m]、万騎峠[1281m]、須加尾宿</t>
  </si>
  <si>
    <t>https://yamap.com/activities/18522452</t>
  </si>
  <si>
    <t>築地場外市場、豊洲ぐるり公園、お台場、レインボーブリッジ、アメ横、新宿</t>
  </si>
  <si>
    <t>09:16</t>
  </si>
  <si>
    <t>https://yamap.com/activities/18495712</t>
  </si>
  <si>
    <t>05:44</t>
  </si>
  <si>
    <t>赤石岳・荒川三山周回</t>
  </si>
  <si>
    <t>https://yamap.com/activities/18618929</t>
  </si>
  <si>
    <t>沼平駐車場、椹島、赤石岳[3121m]、荒川小屋、荒川岳[3141m]、悪沢岳[3141m]、千枚岳[2880m]、椹島、沼平駐車場</t>
  </si>
  <si>
    <t>20:20</t>
  </si>
  <si>
    <t>ぶどう峠、十石峠</t>
  </si>
  <si>
    <t>https://yamap.com/activities/18751626</t>
  </si>
  <si>
    <t>ぶどう峠[1510m]、十石峠[1351m]</t>
  </si>
  <si>
    <t>https://yamap.com/activities/18833715</t>
  </si>
  <si>
    <t>https://yamap.com/activities/18862550</t>
  </si>
  <si>
    <t>乗鞍エコーライン、畳平[2702m]、剣ヶ峰[3026m]</t>
  </si>
  <si>
    <t>05:15</t>
  </si>
  <si>
    <t>内山峠＆田口峠サイクリング</t>
  </si>
  <si>
    <t>https://yamap.com/activities/19020509</t>
  </si>
  <si>
    <t>内山峠[1071m]、田口峠[1120m]</t>
  </si>
  <si>
    <t>07:18</t>
  </si>
  <si>
    <t>日光サイクリング</t>
  </si>
  <si>
    <t>https://yamap.com/activities/19124670</t>
  </si>
  <si>
    <t>竜頭の滝、戦場ヶ原、山王峠[1739m]、霧降高原</t>
  </si>
  <si>
    <t>07:23</t>
  </si>
  <si>
    <t>裏銀座縦走1日目（高瀬ダム→烏帽子小屋）</t>
  </si>
  <si>
    <t>https://yamap.com/activities/19230068</t>
  </si>
  <si>
    <t>高瀬ダム、烏帽子小屋</t>
  </si>
  <si>
    <t>04:39</t>
  </si>
  <si>
    <t>裏銀座縦走1日目（烏帽子小屋～烏帽子岳）</t>
  </si>
  <si>
    <t>https://yamap.com/activities/19230075</t>
  </si>
  <si>
    <t>烏帽子小屋、烏帽子岳[2628m]</t>
  </si>
  <si>
    <t>02:14</t>
  </si>
  <si>
    <t>裏銀座縦走2日目（烏帽子小屋→水晶小屋）</t>
  </si>
  <si>
    <t>https://yamap.com/activities/19239994</t>
  </si>
  <si>
    <t>烏帽子小屋、野口五郎岳[2924m]、水晶小屋</t>
  </si>
  <si>
    <t>05:20</t>
  </si>
  <si>
    <t>裏銀座縦走3日目（水晶小屋→双六小屋）</t>
  </si>
  <si>
    <t>https://yamap.com/activities/19284640</t>
  </si>
  <si>
    <t>水晶小屋、水晶岳[2986m]、鷲羽岳[2924m]、三俣蓮華岳[2841m]、双六岳[2860m]、双六小屋</t>
  </si>
  <si>
    <t>08:59</t>
  </si>
  <si>
    <t>裏銀座縦走4日目（双六小屋→新穂高）</t>
  </si>
  <si>
    <t>https://yamap.com/activities/19301216</t>
  </si>
  <si>
    <t>双六小屋、新穂高</t>
  </si>
  <si>
    <t>05:37</t>
  </si>
  <si>
    <t>金峰山</t>
  </si>
  <si>
    <t>https://yamap.com/activities/19382856</t>
  </si>
  <si>
    <t>06:33</t>
  </si>
  <si>
    <t>田子倉湖サイクリング</t>
  </si>
  <si>
    <t>https://yamap.com/activities/19542952</t>
  </si>
  <si>
    <t>田子倉湖</t>
  </si>
  <si>
    <t>会津駒ヶ岳・中門岳</t>
  </si>
  <si>
    <t>https://yamap.com/activities/19644875</t>
  </si>
  <si>
    <t>会津駒ヶ岳[2133m]、中門岳[2060m]</t>
  </si>
  <si>
    <t>https://yamap.com/activities/19760119</t>
  </si>
  <si>
    <t>地蔵峠[1335m]、開田高原、濁河峠[1770m]、柳蘭峠[1697m]</t>
  </si>
  <si>
    <t>小秀山</t>
  </si>
  <si>
    <t>https://yamap.com/activities/19808433</t>
  </si>
  <si>
    <t>小秀山[1982m]</t>
  </si>
  <si>
    <t>05:50</t>
  </si>
  <si>
    <t>北岳</t>
  </si>
  <si>
    <t>https://yamap.com/activities/19924368</t>
  </si>
  <si>
    <t>北岳[3193m]</t>
  </si>
  <si>
    <t>08:50</t>
  </si>
  <si>
    <t>安達太良山</t>
  </si>
  <si>
    <t>https://yamap.com/activities/20087040</t>
  </si>
  <si>
    <t>安達太良山[1700m]</t>
  </si>
  <si>
    <t>小仙丈ヶ岳・仙丈ヶ岳</t>
  </si>
  <si>
    <t>https://yamap.com/activities/20245646</t>
  </si>
  <si>
    <t>小仙丈ヶ岳[2860m]、仙丈ヶ岳[3033m]</t>
  </si>
  <si>
    <t>蓼科周辺サイクリング</t>
  </si>
  <si>
    <t>https://yamap.com/activities/20317913</t>
  </si>
  <si>
    <t>蓼科湖、横谷渓谷、御射鹿池、すずらん峠[1839m]</t>
  </si>
  <si>
    <t>06:37</t>
  </si>
  <si>
    <t>上高地散策</t>
  </si>
  <si>
    <t>https://yamap.com/activities/20378137</t>
  </si>
  <si>
    <t>11:12</t>
  </si>
  <si>
    <t>戦場ヶ原散策</t>
  </si>
  <si>
    <t>https://yamap.com/activities/20559072</t>
  </si>
  <si>
    <t>戦場ヶ原</t>
  </si>
  <si>
    <t>05:28</t>
  </si>
  <si>
    <t>湯西川散策</t>
  </si>
  <si>
    <t>https://yamap.com/activities/20622031</t>
  </si>
  <si>
    <t>川俣湖、平家の里</t>
  </si>
  <si>
    <t>みずがき湖周辺</t>
  </si>
  <si>
    <t>https://yamap.com/activities/20721128</t>
  </si>
  <si>
    <t>みずがき山自然公園、野辺山、信州峠[1470m]</t>
  </si>
  <si>
    <t>https://yamap.com/activities/20756364</t>
  </si>
  <si>
    <t>05:47</t>
  </si>
  <si>
    <t>河口湖</t>
  </si>
  <si>
    <t>https://yamap.com/activities/20831743</t>
  </si>
  <si>
    <t>03:57</t>
  </si>
  <si>
    <t>大子町</t>
  </si>
  <si>
    <t>https://yamap.com/activities/20954911</t>
  </si>
  <si>
    <t>袋田の滝、永源寺、道の駅「だいご」、月待ちの滝、あゆのつり橋、八溝山[1021.8m]</t>
  </si>
  <si>
    <t>青梅</t>
  </si>
  <si>
    <t>https://yamap.com/activities/21124989</t>
  </si>
  <si>
    <t>日向和田臨川庭園、HIBACHIYA</t>
  </si>
  <si>
    <t>DAHON</t>
  </si>
  <si>
    <t>Dash Altena</t>
  </si>
  <si>
    <t>https://yamap.com/activities/21128562</t>
  </si>
  <si>
    <t>群馬県西部</t>
  </si>
  <si>
    <t>https://yamap.com/activities/21186470</t>
  </si>
  <si>
    <t>10:05</t>
  </si>
  <si>
    <t>https://yamap.com/activities/21189213</t>
  </si>
  <si>
    <t>根津神社、六義園、小石川後楽園、殿ヶ谷戸庭園</t>
  </si>
  <si>
    <t>00:04</t>
  </si>
  <si>
    <t>房総半島サイクリング</t>
  </si>
  <si>
    <t>https://yamap.com/activities/21191893</t>
  </si>
  <si>
    <t>高滝湖、月崎駅、チバニアン、養老渓谷、亀山湖、濃溝の滝、三島湖、大山千枚田、もみじロード</t>
  </si>
  <si>
    <t>09:43</t>
  </si>
  <si>
    <t>本土寺</t>
  </si>
  <si>
    <t>https://yamap.com/activities/21340407</t>
  </si>
  <si>
    <t>本土寺、東漸寺、水元公園、柴又帝釈天</t>
  </si>
  <si>
    <t>https://yamap.com/activities/21537384</t>
  </si>
  <si>
    <t>関宿城、江戸川</t>
  </si>
  <si>
    <t>10:10</t>
  </si>
  <si>
    <t>北鎌倉散策</t>
  </si>
  <si>
    <t>https://yamap.com/activities/21656685</t>
  </si>
  <si>
    <t>北鎌倉</t>
  </si>
  <si>
    <t>https://yamap.com/activities/21982648</t>
  </si>
  <si>
    <t>https://yamap.com/activities/22127533</t>
  </si>
  <si>
    <t>09:51</t>
  </si>
  <si>
    <t>銚子散策</t>
  </si>
  <si>
    <t>https://yamap.com/activities/22221650</t>
  </si>
  <si>
    <t>犬吠埼灯台地球の丸く見える丘展望館、屏風ヶ浦の遊歩道、外川駅、銚子漁港</t>
  </si>
  <si>
    <t>08:53</t>
  </si>
  <si>
    <t>銚子から自宅</t>
  </si>
  <si>
    <t>https://yamap.com/activities/22221655</t>
  </si>
  <si>
    <t>芝山古墳、はにわ博物館、佐倉の旧武居家住宅、佐倉ふるさと広場</t>
  </si>
  <si>
    <t>高畑山・天神山・倉岳山</t>
  </si>
  <si>
    <t>https://yamap.com/activities/22411301</t>
  </si>
  <si>
    <t>高畑山[982m]、天神山[876m]、倉岳山[990m]</t>
  </si>
  <si>
    <t>07:20</t>
  </si>
  <si>
    <t>鍋倉山（宇部市）</t>
  </si>
  <si>
    <t>https://yamap.com/activities/22579119</t>
  </si>
  <si>
    <t>鍋倉山[30m]、山口宇部空港</t>
  </si>
  <si>
    <t>https://yamap.com/activities/22699943</t>
  </si>
  <si>
    <t>三笠公園、城ケ島、境川</t>
  </si>
  <si>
    <t>12:50</t>
  </si>
  <si>
    <t>https://yamap.com/activities/22908740</t>
  </si>
  <si>
    <t>越生梅林＆北浅羽桜堤公園サイクリング</t>
  </si>
  <si>
    <t>https://yamap.com/activities/22968981</t>
  </si>
  <si>
    <t>越生梅林、北浅羽桜堤公園</t>
  </si>
  <si>
    <t>💮🌸</t>
  </si>
  <si>
    <t>09:12</t>
  </si>
  <si>
    <t>https://yamap.com/activities/23060589</t>
  </si>
  <si>
    <t>上野公園、根津神社、皇居、千鳥ヶ淵緑道、小石川後楽園、神田川、東郷寺、大國魂神社</t>
  </si>
  <si>
    <t>06:29</t>
  </si>
  <si>
    <t>https://yamap.com/activities/23084056</t>
  </si>
  <si>
    <t>井之頭公園、神田明神、浅草、隅田公園、旧古河庭園、護国寺、常泉院(新宿)</t>
  </si>
  <si>
    <t>小田原から鵠沼海岸</t>
  </si>
  <si>
    <t>https://yamap.com/activities/23145274</t>
  </si>
  <si>
    <t>鵠沼海岸</t>
  </si>
  <si>
    <t>08:23</t>
  </si>
  <si>
    <t>長瀞ウォーキング</t>
  </si>
  <si>
    <t>https://yamap.com/activities/23182862</t>
  </si>
  <si>
    <t>もてぎサーキット・ウォーキング＆サイクリング</t>
  </si>
  <si>
    <t>https://yamap.com/activities/23324833</t>
  </si>
  <si>
    <t>もてぎサーキット</t>
  </si>
  <si>
    <t>01:29</t>
  </si>
  <si>
    <t>多摩川の桜とチューリップ</t>
  </si>
  <si>
    <t>https://yamap.com/activities/23389464</t>
  </si>
  <si>
    <t>多摩川、根がらみ前水田</t>
  </si>
  <si>
    <t>07:29</t>
  </si>
  <si>
    <t>高遠周辺の桜</t>
  </si>
  <si>
    <t>https://yamap.com/activities/23426034</t>
  </si>
  <si>
    <t>六道堤、高遠城、中沢の花桃の里、おもしろかっぱ館、光前寺</t>
  </si>
  <si>
    <t>守屋山</t>
  </si>
  <si>
    <t>https://yamap.com/activities/23444506</t>
  </si>
  <si>
    <t>守屋山[1651m]</t>
  </si>
  <si>
    <t>03:24</t>
  </si>
  <si>
    <t>定峰峠＆奥武蔵GLサイクリング</t>
  </si>
  <si>
    <t>https://yamap.com/activities/23592843</t>
  </si>
  <si>
    <t>定峰峠[613m]、奥武蔵グリーンライン</t>
  </si>
  <si>
    <t>10:50</t>
  </si>
  <si>
    <t>富士見台高原周回</t>
  </si>
  <si>
    <t>https://yamap.com/activities/23844410</t>
  </si>
  <si>
    <t>富士見台高原[1739m]</t>
  </si>
  <si>
    <t>06:15</t>
  </si>
  <si>
    <t>酷道425号線</t>
  </si>
  <si>
    <t>https://yamap.com/activities/23911421</t>
  </si>
  <si>
    <t>国道425号線、龍神温泉</t>
  </si>
  <si>
    <t>14:48</t>
  </si>
  <si>
    <t>日本岳・小普賢岳・大普賢岳</t>
  </si>
  <si>
    <t>https://yamap.com/activities/24009130</t>
  </si>
  <si>
    <t>日本岳[1600m]、小普賢岳[1640m]、大普賢岳[1780m]</t>
  </si>
  <si>
    <t>05:33</t>
  </si>
  <si>
    <t>白草山・箱岩山</t>
  </si>
  <si>
    <t>https://yamap.com/activities/24026615</t>
  </si>
  <si>
    <t>白草山[1641m]、箱岩山[1661m]</t>
  </si>
  <si>
    <t>入笠山登山と金沢林道</t>
  </si>
  <si>
    <t>https://yamap.com/activities/24083318</t>
  </si>
  <si>
    <t>入笠山登山、金沢林道</t>
  </si>
  <si>
    <t>01:23</t>
  </si>
  <si>
    <t>本社ヶ丸・三ッ峠山</t>
  </si>
  <si>
    <t>https://yamap.com/activities/24308814</t>
  </si>
  <si>
    <t>本社ヶ丸、三ッ峠山[1785m]</t>
  </si>
  <si>
    <t>大弛峠から金峰山へ</t>
  </si>
  <si>
    <t>https://yamap.com/activities/24406370</t>
  </si>
  <si>
    <t>05:12</t>
  </si>
  <si>
    <t>硫黄岳・東天狗岳</t>
  </si>
  <si>
    <t>https://yamap.com/activities/24552856</t>
  </si>
  <si>
    <t>桜平駐車場、硫黄岳[2760m]、東天狗岳[2640m]、唐沢鉱泉、桜平駐車場</t>
  </si>
  <si>
    <t>09:40</t>
  </si>
  <si>
    <t>蝶ヶ岳・蝶槍</t>
  </si>
  <si>
    <t>https://yamap.com/activities/24663246</t>
  </si>
  <si>
    <t>三股、蝶ヶ岳[2677m]、蝶槍</t>
  </si>
  <si>
    <t>11:11</t>
  </si>
  <si>
    <t>鎌倉サイクリング</t>
  </si>
  <si>
    <t>https://yamap.com/activities/24750143</t>
  </si>
  <si>
    <t>06:50</t>
  </si>
  <si>
    <t>本土寺の花菖蒲と紫陽花</t>
  </si>
  <si>
    <t>https://yamap.com/activities/24792648</t>
  </si>
  <si>
    <t>02:03</t>
  </si>
  <si>
    <t>仙丈ヶ岳</t>
  </si>
  <si>
    <t>https://yamap.com/activities/24929619</t>
  </si>
  <si>
    <t>北沢峠、仙丈ヶ岳[3033m]</t>
  </si>
  <si>
    <t>05:59</t>
  </si>
  <si>
    <t>白樺湖サイクリング</t>
  </si>
  <si>
    <t>https://yamap.com/activities/24977594</t>
  </si>
  <si>
    <t>麦草峠[2127m]</t>
  </si>
  <si>
    <t>https://yamap.com/activities/25106263</t>
  </si>
  <si>
    <t>古代蓮の里、騎西城、八幡山古墳、忍城</t>
  </si>
  <si>
    <t>燕岳・北燕岳</t>
  </si>
  <si>
    <t>https://yamap.com/activities/25225931</t>
  </si>
  <si>
    <t>中房温泉、燕岳[2763m]、北燕岳[2749m]</t>
  </si>
  <si>
    <t>09:56</t>
  </si>
  <si>
    <t>燕山荘から常念小屋まで</t>
  </si>
  <si>
    <t>https://yamap.com/activities/25270785</t>
  </si>
  <si>
    <t>06:52</t>
  </si>
  <si>
    <t>乗鞍岳（剣ヶ峰）、自転車でダウンヒル</t>
  </si>
  <si>
    <t>https://yamap.com/activities/25538910</t>
  </si>
  <si>
    <t>畳平[2702m]、剣ヶ峰[3026m]、乗鞍エコーライン</t>
  </si>
  <si>
    <t>梅雨明け直前に折立から高瀬ダム （1日目：折立～薬師沢小屋）</t>
  </si>
  <si>
    <t>https://yamap.com/activities/25591336</t>
  </si>
  <si>
    <t>折立、太郎平、薬師沢小屋</t>
  </si>
  <si>
    <t>06:01</t>
  </si>
  <si>
    <t>梅雨明け直前に折立から高瀬ダム （2日目：薬師沢小屋～水晶小屋）</t>
  </si>
  <si>
    <t>https://yamap.com/activities/25596583</t>
  </si>
  <si>
    <t>梅雨明け直前に折立から高瀬ダム （3日目：水晶小屋～高瀬ダム）</t>
  </si>
  <si>
    <t>https://yamap.com/activities/25630447</t>
  </si>
  <si>
    <t>水晶小屋、水晶岳[2986m]、野口五郎岳[2924m]、高瀬ダム</t>
  </si>
  <si>
    <t>https://yamap.com/activities/25839161</t>
  </si>
  <si>
    <t>05:17</t>
  </si>
  <si>
    <t>白砂山・八間山</t>
  </si>
  <si>
    <t>https://yamap.com/activities/25926691</t>
  </si>
  <si>
    <t>白砂山[2140m]、八間山[1935m]</t>
  </si>
  <si>
    <t>08:00</t>
  </si>
  <si>
    <t>https://yamap.com/activities/25974457</t>
  </si>
  <si>
    <t>02:58</t>
  </si>
  <si>
    <t>酷暑に種池山荘を２泊３日～１日目</t>
  </si>
  <si>
    <t>https://yamap.com/activities/26100901</t>
  </si>
  <si>
    <t>03:07</t>
  </si>
  <si>
    <t>酷暑に種池山荘を２泊３日～２日目</t>
  </si>
  <si>
    <t>https://yamap.com/activities/26100913</t>
  </si>
  <si>
    <t>種池山荘、爺ヶ岳[2663m]、鹿島槍ヶ岳[2889m]、種池山荘</t>
  </si>
  <si>
    <t>08:28</t>
  </si>
  <si>
    <t>酷暑に種池山荘を２泊３日～３日目</t>
  </si>
  <si>
    <t>https://yamap.com/activities/26100931</t>
  </si>
  <si>
    <t>種池山荘、爺ヶ岳[2663m]、柏原新道登山口</t>
  </si>
  <si>
    <t>04:16</t>
  </si>
  <si>
    <t>田子倉湖・南会津</t>
  </si>
  <si>
    <t>https://yamap.com/activities/27023588</t>
  </si>
  <si>
    <t>19:32</t>
  </si>
  <si>
    <t>栂池から白馬岳へ</t>
  </si>
  <si>
    <t>https://yamap.com/activities/27294631</t>
  </si>
  <si>
    <t>栂池、白馬大池[2379m]、小蓮華山[2766m]、白馬岳[2932m]、白馬山荘、栂池</t>
  </si>
  <si>
    <t>11:22</t>
  </si>
  <si>
    <t>一切経山・吾妻小富士</t>
  </si>
  <si>
    <t>https://yamap.com/activities/27434835</t>
  </si>
  <si>
    <t>一切経山[1949m]、吾妻小富士[1707m]</t>
  </si>
  <si>
    <t>07:15</t>
  </si>
  <si>
    <t>戦場ヶ原ハイキング</t>
  </si>
  <si>
    <t>https://yamap.com/activities/27598638</t>
  </si>
  <si>
    <t>日光周回サイクリング</t>
  </si>
  <si>
    <t>https://yamap.com/activities/27647724</t>
  </si>
  <si>
    <t>いろは坂、奥鬼怒林道、山王峠[1739m]、川俣湖、瀬戸合峡</t>
  </si>
  <si>
    <t>08:22</t>
  </si>
  <si>
    <t>河口湖一周</t>
  </si>
  <si>
    <t>https://yamap.com/activities/27749308</t>
  </si>
  <si>
    <t>みずがき湖・清里</t>
  </si>
  <si>
    <t>https://yamap.com/activities/27823992</t>
  </si>
  <si>
    <t>みずがき湖</t>
  </si>
  <si>
    <t>08:15</t>
  </si>
  <si>
    <t>もみじ湖・高遠</t>
  </si>
  <si>
    <t>https://yamap.com/activities/27917010</t>
  </si>
  <si>
    <t>もみじ湖</t>
  </si>
  <si>
    <t>スワイチ</t>
  </si>
  <si>
    <t>https://yamap.com/activities/27974725</t>
  </si>
  <si>
    <t>諏訪湖一周</t>
  </si>
  <si>
    <t>06:08</t>
  </si>
  <si>
    <t>https://yamap.com/activities/28059174</t>
  </si>
  <si>
    <t>03:15</t>
  </si>
  <si>
    <t>百里基地航空祭2023</t>
  </si>
  <si>
    <t>https://yamap.com/activities/28990074</t>
  </si>
  <si>
    <t>百里基地</t>
  </si>
  <si>
    <t>06:58</t>
  </si>
  <si>
    <t>石割山・平尾山・大平山</t>
  </si>
  <si>
    <t>https://yamap.com/activities/29163576</t>
  </si>
  <si>
    <t>石割山[1412m]、平尾山[1290m]、大平山[1296m]</t>
  </si>
  <si>
    <t>紅葉台・三湖台・五湖台</t>
  </si>
  <si>
    <t>https://yamap.com/activities/29319915</t>
  </si>
  <si>
    <t>紅葉台、三湖台、五湖台</t>
  </si>
  <si>
    <t>須崎遊歩道</t>
  </si>
  <si>
    <t>https://yamap.com/activities/29477413</t>
  </si>
  <si>
    <t>02:41</t>
  </si>
  <si>
    <t>安城岬</t>
  </si>
  <si>
    <t>https://yamap.com/activities/29510810</t>
  </si>
  <si>
    <t>01:10</t>
  </si>
  <si>
    <t>西伊豆歩道（燈明ヶ崎コース）</t>
  </si>
  <si>
    <t>https://yamap.com/activities/29518889</t>
  </si>
  <si>
    <t>西伊豆歩道</t>
  </si>
  <si>
    <t>01:38</t>
  </si>
  <si>
    <t>黒岳・越前岳</t>
  </si>
  <si>
    <t>https://yamap.com/activities/29611655</t>
  </si>
  <si>
    <t>黒岳[1086m]、越前岳[1504m]</t>
  </si>
  <si>
    <t>一泊二日でイズイチ🚴～</t>
  </si>
  <si>
    <t>https://yamap.com/activities/29717755</t>
  </si>
  <si>
    <t>道の駅「伊豆のへそ」、河津町、南伊豆、土肥、JU-ZA</t>
  </si>
  <si>
    <t>17:49</t>
  </si>
  <si>
    <t>高水山・岩茸石山・惣岳山</t>
  </si>
  <si>
    <t>https://yamap.com/activities/29799681</t>
  </si>
  <si>
    <t>高水山[759m]、岩茸石山[793m]、惣岳山[756m]</t>
  </si>
  <si>
    <t>03:59</t>
  </si>
  <si>
    <t>越生梅林・大高取山</t>
  </si>
  <si>
    <t>https://yamap.com/activities/30005964</t>
  </si>
  <si>
    <t>大高取山[376m]</t>
  </si>
  <si>
    <t>04:13</t>
  </si>
  <si>
    <t>長尾山・金時山・明神ヶ岳</t>
  </si>
  <si>
    <t>https://yamap.com/activities/30138023</t>
  </si>
  <si>
    <t>長尾山[1144m]、金時山[1212m]、明神ヶ岳[1169m]</t>
  </si>
  <si>
    <t>千葉県・新川の川津桜と佐倉サイクリング</t>
  </si>
  <si>
    <t>https://yamap.com/activities/30198269</t>
  </si>
  <si>
    <t>新川、佐倉</t>
  </si>
  <si>
    <t>05:36</t>
  </si>
  <si>
    <t>杓子山・二十曲峠・石割山・平尾山</t>
  </si>
  <si>
    <t>https://yamap.com/activities/30249079</t>
  </si>
  <si>
    <t>杓子山[1598m]、二十曲峠[1150m]、石割山[1412m]、平尾山[1290m]</t>
  </si>
  <si>
    <t>入間川</t>
  </si>
  <si>
    <t>https://yamap.com/activities/30274161</t>
  </si>
  <si>
    <t>04:47</t>
  </si>
  <si>
    <t>竜ヶ岳・烏帽子岳・パノラマ台</t>
  </si>
  <si>
    <t>https://yamap.com/activities/30390742</t>
  </si>
  <si>
    <t>竜ヶ岳[1485m]、烏帽子岳[1257m]、パノラマ台</t>
  </si>
  <si>
    <t>07:37</t>
  </si>
  <si>
    <t>https://yamap.com/activities/30432783</t>
  </si>
  <si>
    <t>08:04</t>
  </si>
  <si>
    <t>石尊山・官ノ倉山</t>
  </si>
  <si>
    <t>https://yamap.com/activities/30526426</t>
  </si>
  <si>
    <t>石尊山[344m]、官ノ倉山[345m]</t>
  </si>
  <si>
    <t>01:36</t>
  </si>
  <si>
    <t>赤岩ノ丸・黒岳・白谷ノ丸・白谷小丸</t>
  </si>
  <si>
    <t>https://yamap.com/activities/30634511</t>
  </si>
  <si>
    <t>赤岩ノ丸[1792m]、黒岳[1988m]、白谷ノ丸[1920m]、白谷小丸[1895m]</t>
  </si>
  <si>
    <t>06:09</t>
  </si>
  <si>
    <t>秩父・清雲寺散策</t>
  </si>
  <si>
    <t>https://yamap.com/activities/30644316</t>
  </si>
  <si>
    <t>01:24</t>
  </si>
  <si>
    <t>甚六桜公園散策</t>
  </si>
  <si>
    <t>https://yamap.com/activities/30709980</t>
  </si>
  <si>
    <t>01:27</t>
  </si>
  <si>
    <t>https://yamap.com/activities/30782338</t>
  </si>
  <si>
    <t>09:09</t>
  </si>
  <si>
    <t>https://yamap.com/activities/30975923</t>
  </si>
  <si>
    <t>武蔵野の森公園、東郷寺</t>
  </si>
  <si>
    <t>https://yamap.com/activities/30975948</t>
  </si>
  <si>
    <t>01:48</t>
  </si>
  <si>
    <t>https://yamap.com/activities/30977714</t>
  </si>
  <si>
    <t>06:38</t>
  </si>
  <si>
    <t>大菩薩峠・小金沢山・牛奥ノ雁ヶ腹摺山</t>
  </si>
  <si>
    <t>https://yamap.com/activities/31113898</t>
  </si>
  <si>
    <t>大菩薩峠[1897m]、小金沢山[2014m]、牛奥ノ雁ヶ腹摺山[1995m]</t>
  </si>
  <si>
    <t>塩船観音</t>
  </si>
  <si>
    <t>https://yamap.com/activities/31139646</t>
  </si>
  <si>
    <t>塩船観音、根岸屋</t>
  </si>
  <si>
    <t>02:47</t>
  </si>
  <si>
    <t>直島一周</t>
  </si>
  <si>
    <t>https://yamap.com/activities/31369667</t>
  </si>
  <si>
    <t>直島、高松城</t>
  </si>
  <si>
    <t>丸石・次郎笈・剣山</t>
  </si>
  <si>
    <t>https://yamap.com/activities/31259036</t>
  </si>
  <si>
    <t>かづら橋、丸石、次郎笈[1930m]、剣山[ 1955m]</t>
  </si>
  <si>
    <t>竜串と柏島</t>
  </si>
  <si>
    <t>https://yamap.com/activities/31366030</t>
  </si>
  <si>
    <t>竜串、柏島</t>
  </si>
  <si>
    <t>08:38</t>
  </si>
  <si>
    <t>四万十川（四万十ヘブンズロード）</t>
  </si>
  <si>
    <t>https://yamap.com/activities/31460982</t>
  </si>
  <si>
    <t>四万十川</t>
  </si>
  <si>
    <t>由布岳（東峰）</t>
  </si>
  <si>
    <t>https://yamap.com/activities/31406791</t>
  </si>
  <si>
    <t>由布岳[1583m]</t>
  </si>
  <si>
    <t>03:47</t>
  </si>
  <si>
    <t>秋吉台の冠山・北山</t>
  </si>
  <si>
    <t>https://yamap.com/activities/31517202</t>
  </si>
  <si>
    <t>冠山[377m]、北山[367m]</t>
  </si>
  <si>
    <t>宝満山</t>
  </si>
  <si>
    <t>https://yamap.com/activities/31552799</t>
  </si>
  <si>
    <t>宝満山[829m]</t>
  </si>
  <si>
    <t>03:05</t>
  </si>
  <si>
    <t>琴川ダムから金峰山へ</t>
  </si>
  <si>
    <t>https://yamap.com/activities/31701495</t>
  </si>
  <si>
    <t>09:08</t>
  </si>
  <si>
    <t>https://yamap.com/activities/31886040</t>
  </si>
  <si>
    <t>桜平駐車場、硫黄岳[2760m]、東天狗岳[2640m]、奥蓼科登山口、御射鹿池、桜平駐車場</t>
  </si>
  <si>
    <t>10:43</t>
  </si>
  <si>
    <t>上高地から蝶ヶ岳へ</t>
  </si>
  <si>
    <t>https://yamap.com/activities/32067245</t>
  </si>
  <si>
    <t>上高地、蝶ヶ岳[2677m]、蝶槍、
蝶ヶ岳ヒュッテ、上高地</t>
  </si>
  <si>
    <t>14:08</t>
  </si>
  <si>
    <t>日の山</t>
  </si>
  <si>
    <t>https://yamap.com/activities/32175817</t>
  </si>
  <si>
    <t>日ノ山[146m]</t>
  </si>
  <si>
    <t>01:32</t>
  </si>
  <si>
    <t>航空自衛隊 防府北基地 航空祭2024</t>
  </si>
  <si>
    <t>https://yamap.com/activities/32234677</t>
  </si>
  <si>
    <t>防府北基地</t>
  </si>
  <si>
    <t>社山・中禅寺山・半月山</t>
  </si>
  <si>
    <t>https://yamap.com/activities/32360534</t>
  </si>
  <si>
    <t>社山[1827m]、中禅寺山[1655m]、半月山[1753m]</t>
  </si>
  <si>
    <t>06:03</t>
  </si>
  <si>
    <t>甲斐駒ヶ岳</t>
  </si>
  <si>
    <t>https://yamap.com/activities/32560544</t>
  </si>
  <si>
    <t>北沢峠、甲斐駒ヶ岳[2967m]、こもれび山荘</t>
  </si>
  <si>
    <t>https://yamap.com/activities/32951595</t>
  </si>
  <si>
    <t>中房温泉、燕岳[2763m]、燕山荘、中房温泉</t>
  </si>
  <si>
    <t>立山（雄山）・立山（大汝山）・立山（富士ノ折立）・真砂岳・別山・別山（北峰）</t>
  </si>
  <si>
    <t>https://yamap.com/activities/33065886</t>
  </si>
  <si>
    <t>室堂、立山[3015m]、別山[2874m]、雷鳥荘、みくりが池</t>
  </si>
  <si>
    <t>07:59</t>
  </si>
  <si>
    <t>南アルプス・茶臼岳</t>
  </si>
  <si>
    <t>https://yamap.com/activities/33219169</t>
  </si>
  <si>
    <t>沼平駐車場、茶臼小屋、茶臼岳[2604m]、沼平駐車場</t>
  </si>
  <si>
    <t>12:10</t>
  </si>
  <si>
    <t>白馬岳</t>
  </si>
  <si>
    <t>https://yamap.com/activities/33391050</t>
  </si>
  <si>
    <t>https://yamap.com/activities/33422973</t>
  </si>
  <si>
    <t>折立から新穂高へ</t>
  </si>
  <si>
    <t>https://yamap.com/activities/33835939</t>
  </si>
  <si>
    <t>折立、太郎平小屋、黒部五郎岳[2840m]、黒部五郎小舎、三俣蓮華岳[2841m]、双六岳[2860m]、鏡平山荘、新穂高</t>
  </si>
  <si>
    <t>24:10</t>
  </si>
  <si>
    <t>https://yamap.com/activities/33915699</t>
  </si>
  <si>
    <t>08:06</t>
  </si>
  <si>
    <t>https://yamap.com/activities/33992954</t>
  </si>
  <si>
    <t>00:06</t>
  </si>
  <si>
    <t>https://yamap.com/activities/34118214</t>
  </si>
  <si>
    <t>東京国立博物館、アメ横</t>
  </si>
  <si>
    <t>07:46</t>
  </si>
  <si>
    <t>林道「湯之奥猪之頭線」</t>
  </si>
  <si>
    <t>https://yamap.com/activities/34241567</t>
  </si>
  <si>
    <t>林道「湯之奥猪之頭線」、田貫湖、本栖湖</t>
  </si>
  <si>
    <t>https://yamap.com/activities/34620692</t>
  </si>
  <si>
    <t>乗鞍エコーライン、畳平[2702m]、乗鞍スカイライン、平湯峠[1684m]、安房峠[1790m]</t>
  </si>
  <si>
    <t>08:13</t>
  </si>
  <si>
    <t>合戦沢の頭・燕岳</t>
  </si>
  <si>
    <t>https://yamap.com/activities/34763714</t>
  </si>
  <si>
    <t>中房温泉、燕山荘、燕岳[2763m]、中房温泉</t>
  </si>
  <si>
    <t>13:55</t>
  </si>
  <si>
    <t>日高市・巾着田の曼殊沙華</t>
  </si>
  <si>
    <t>https://yamap.com/activities/34906542</t>
  </si>
  <si>
    <t>中房温泉から一ノ沢へ</t>
  </si>
  <si>
    <t>https://yamap.com/activities/35110959</t>
  </si>
  <si>
    <t>中房温泉、燕岳[2763m]、
大天荘、大天井岳[2922m]、東天井岳[2814m]、常念小屋、一ノ沢</t>
  </si>
  <si>
    <t>14:31</t>
  </si>
  <si>
    <t>https://yamap.com/activities/35204533</t>
  </si>
  <si>
    <t>米沢・会津サイクリング</t>
  </si>
  <si>
    <t>https://yamap.com/activities/35704111</t>
  </si>
  <si>
    <t>米沢駅、喜多方、会津若松、鬼怒川温泉駅</t>
  </si>
  <si>
    <t>18:44</t>
  </si>
  <si>
    <t>百里基地航空祭2024</t>
  </si>
  <si>
    <t>https://yamap.com/activities/36501488</t>
  </si>
  <si>
    <t>02:26</t>
  </si>
  <si>
    <t>宇部市・日の山</t>
  </si>
  <si>
    <t>https://yamap.com/activities/36793587</t>
  </si>
  <si>
    <t>01:12</t>
  </si>
  <si>
    <t>勘十郎岳・亀尾山周回</t>
  </si>
  <si>
    <t>https://yamap.com/activities/36856366</t>
  </si>
  <si>
    <t>勘十郎岳[246m]、亀尾山[325m]</t>
  </si>
  <si>
    <t>https://yamap.com/activities/36882449</t>
  </si>
  <si>
    <t>唐戸、関門トンネル人道、門司港</t>
  </si>
  <si>
    <t>六畳岩・貝殻山</t>
  </si>
  <si>
    <t>https://yamap.com/activities/36973417</t>
  </si>
  <si>
    <t>六畳岩、貝殻山[80m]</t>
  </si>
  <si>
    <t>00:56</t>
  </si>
  <si>
    <t>亀山・遠下山・梅ノ木山・火の山・南原之頭・陶ヶ岳（観音山）・龍神山・岩屋山</t>
  </si>
  <si>
    <t>https://yamap.com/activities/37058513</t>
  </si>
  <si>
    <t>亀山[300m]、火の山[304m]、陶ヶ岳[230m]、岩屋山[210m]</t>
  </si>
  <si>
    <t>03:01</t>
  </si>
  <si>
    <t>https://yamap.com/activities/37141281</t>
  </si>
  <si>
    <t>Topstone 3L</t>
  </si>
  <si>
    <t>南多摩里山</t>
  </si>
  <si>
    <t>https://yamap.com/activities/37218066</t>
  </si>
  <si>
    <t>よこやまの道、小野路宿</t>
  </si>
  <si>
    <t>04:53</t>
  </si>
  <si>
    <t>https://yamap.com/activities/37350710</t>
  </si>
  <si>
    <t>04:52</t>
  </si>
  <si>
    <t>https://yamap.com/activities/37350604</t>
  </si>
  <si>
    <t>西新宿</t>
  </si>
  <si>
    <t>04:28</t>
  </si>
  <si>
    <t>萩市・笠山</t>
  </si>
  <si>
    <t>https://yamap.com/activities/37617228</t>
  </si>
  <si>
    <t>笠山[112m]</t>
  </si>
  <si>
    <t>04:02</t>
  </si>
  <si>
    <t>山陽小野田市・竜王山</t>
  </si>
  <si>
    <t>https://yamap.com/activities/37805746</t>
  </si>
  <si>
    <t>竜王山[139m]、きららビーチ焼野、くぐり岩</t>
  </si>
  <si>
    <t>04:45</t>
  </si>
  <si>
    <t>https://yamap.com/activities/37875896</t>
  </si>
  <si>
    <t>秋吉台山焼き残念</t>
  </si>
  <si>
    <t>https://yamap.com/activities/38172139</t>
  </si>
  <si>
    <t>01:22</t>
  </si>
  <si>
    <t>防府天満宮の梅と天神山</t>
  </si>
  <si>
    <t>https://yamap.com/activities/38258330</t>
  </si>
  <si>
    <t>防府天満宮、天神山[167m]</t>
  </si>
  <si>
    <t>02:25</t>
  </si>
  <si>
    <t>https://yamap.com/activities/38299381</t>
  </si>
  <si>
    <t>戸ノ上山[518m]、足立山[598m]、小文字山[366m]</t>
  </si>
  <si>
    <t>https://yamap.com/activities/38354536</t>
  </si>
  <si>
    <t>楠こもれびの郷・美祢</t>
  </si>
  <si>
    <t>https://yamap.com/activities/38546405</t>
  </si>
  <si>
    <t>楠こもれびの郷</t>
  </si>
  <si>
    <t>とびしま海道</t>
  </si>
  <si>
    <t>https://yamap.com/activities/38608894</t>
  </si>
  <si>
    <t>08:02</t>
  </si>
  <si>
    <t>かきしま海道</t>
  </si>
  <si>
    <t>https://yamap.com/activities/38660133</t>
  </si>
  <si>
    <t>09:23</t>
  </si>
  <si>
    <t>弥山</t>
  </si>
  <si>
    <t>https://yamap.com/activities/38667544</t>
  </si>
  <si>
    <t>弥山[535m]、大聖院、厳島神社</t>
  </si>
  <si>
    <t>多摩の桜</t>
  </si>
  <si>
    <t>https://yamap.com/activities/38837794</t>
  </si>
  <si>
    <t>深大寺、東郷寺、武蔵国分寺跡</t>
  </si>
  <si>
    <t>09:03</t>
  </si>
  <si>
    <t>https://yamap.com/activities/38837797</t>
  </si>
  <si>
    <t>神田川、千鳥ヶ淵公園、日本橋、増上寺、浜離宮恩賜庭園、永代橋、神田明神、小石川後楽園、花園神社(新宿)</t>
  </si>
  <si>
    <t>11:43</t>
  </si>
  <si>
    <t>山口市の桜</t>
  </si>
  <si>
    <t>https://yamap.com/activities/38842165</t>
  </si>
  <si>
    <t>一の坂川、サビエル記念聖堂、雪舟庭</t>
  </si>
  <si>
    <t>03:16</t>
  </si>
  <si>
    <t>竜王山の桜</t>
  </si>
  <si>
    <t>https://yamap.com/activities/38850240</t>
  </si>
  <si>
    <t>00:39</t>
  </si>
  <si>
    <t>宇部市の桜</t>
  </si>
  <si>
    <t>https://yamap.com/activities/38984121</t>
  </si>
  <si>
    <t>常盤公園、宗麟寺、宇部護国神社</t>
  </si>
  <si>
    <t>みね桜まつり</t>
  </si>
  <si>
    <t>https://yamap.com/activities/38976369</t>
  </si>
  <si>
    <t>厚狭川</t>
  </si>
  <si>
    <t>00:59</t>
  </si>
  <si>
    <t>https://yamap.com/activities/38994378</t>
  </si>
  <si>
    <t>火の山公園</t>
  </si>
  <si>
    <t>04:29</t>
  </si>
  <si>
    <t>霜降城跡</t>
  </si>
  <si>
    <t>https://yamap.com/activities/38757422</t>
  </si>
  <si>
    <t>男山[232m]</t>
  </si>
  <si>
    <t>07:54</t>
  </si>
  <si>
    <t>津和野</t>
  </si>
  <si>
    <t>https://yamap.com/activities/39071353</t>
  </si>
  <si>
    <t>津和野、太皷谷稲成神社</t>
  </si>
  <si>
    <t>02:10</t>
  </si>
  <si>
    <t>久住山</t>
  </si>
  <si>
    <t>https://yamap.com/activities/39152789</t>
  </si>
  <si>
    <t>牧ノ戸峠、久住山[1786m]</t>
  </si>
  <si>
    <t>仙酔峡から中岳・高岳・南岳へ登山して自転車で周回</t>
  </si>
  <si>
    <t>https://yamap.com/activities/39177870</t>
  </si>
  <si>
    <t>08:12</t>
  </si>
  <si>
    <t>阿蘇の烏帽子岳・杵島岳</t>
  </si>
  <si>
    <t>https://yamap.com/activities/39193862</t>
  </si>
  <si>
    <t>03:34</t>
  </si>
  <si>
    <t>北大船山・大船山・坊ガツル</t>
  </si>
  <si>
    <t>https://yamap.com/activities/39255431</t>
  </si>
  <si>
    <t>男池駐車場、北大船山[1706m]、大船山[1786m]、坊ガツル、吉部登山、男池駐車場</t>
  </si>
  <si>
    <t>07:24</t>
  </si>
  <si>
    <t>長門市・青海島</t>
  </si>
  <si>
    <t>https://yamap.com/activities/39426581</t>
  </si>
  <si>
    <t>青海島、青海島自然研究路</t>
  </si>
  <si>
    <t>防府市・大平山</t>
  </si>
  <si>
    <t>https://yamap.com/activities/39497340</t>
  </si>
  <si>
    <t>大平山[631m]、林道「神宮線」、とりたまの里、大原湖、平家の泉</t>
  </si>
  <si>
    <t>しまなみ海道</t>
  </si>
  <si>
    <t>https://yamap.com/activities/39830593</t>
  </si>
  <si>
    <t>08:42</t>
  </si>
  <si>
    <t>ゆめしま海道</t>
  </si>
  <si>
    <t>https://yamap.com/activities/39830635</t>
  </si>
  <si>
    <t>https://yamap.com/activities/39869225</t>
  </si>
  <si>
    <t>00:17</t>
  </si>
  <si>
    <t>宇部市北部</t>
  </si>
  <si>
    <t>https://yamap.com/activities/39838304</t>
  </si>
  <si>
    <t>厚東川ダム、小野茶直売所、船木鉄道、吉部の大岩郷、万倉の大岩郷、今富ダム、楠こもれびの郷</t>
  </si>
  <si>
    <t>十種ヶ峰（長門富士）</t>
  </si>
  <si>
    <t>https://yamap.com/activities/39939677</t>
  </si>
  <si>
    <t>大平山のツツジ</t>
  </si>
  <si>
    <t>https://yamap.com/activities/40032679</t>
  </si>
  <si>
    <t>大平山[631m]</t>
  </si>
  <si>
    <t>00:49</t>
  </si>
  <si>
    <t>シマクル2025周防大島</t>
  </si>
  <si>
    <t>https://yamap.com/activities/40127452</t>
  </si>
  <si>
    <t>周防大島</t>
  </si>
  <si>
    <t>宇部市・観音岳の展望台</t>
  </si>
  <si>
    <t>https://yamap.com/activities/40244909</t>
  </si>
  <si>
    <t>観音岳[161m]</t>
  </si>
  <si>
    <t>https://yamap.com/activities/40306675</t>
  </si>
  <si>
    <t>東鳳翩山の林道越え</t>
  </si>
  <si>
    <t>https://yamap.com/activities/40381088</t>
  </si>
  <si>
    <t>地蔵峠[533m]、雲雀峠[242m]、秋吉台、小野湖</t>
  </si>
  <si>
    <t>火の山連山</t>
  </si>
  <si>
    <t>https://yamap.com/activities/40416861</t>
  </si>
  <si>
    <t>火の山[304m]、陶ヶ岳[230m]</t>
  </si>
  <si>
    <t>05:11</t>
  </si>
  <si>
    <t>平治岳</t>
  </si>
  <si>
    <t>https://yamap.com/activities/40482249</t>
  </si>
  <si>
    <t>09:34</t>
  </si>
  <si>
    <t>くじゅう・三俣山と中岳</t>
  </si>
  <si>
    <t>https://yamap.com/activities/40496987</t>
  </si>
  <si>
    <t>07:21</t>
  </si>
  <si>
    <t>鬼ヶ城</t>
  </si>
  <si>
    <t>https://yamap.com/activities/40563265</t>
  </si>
  <si>
    <t>03:45</t>
  </si>
  <si>
    <t>https://yamap.com/activities/40677738</t>
  </si>
  <si>
    <t>小野湖、万倉の大岩郷、今富ダム、大韓飯屋</t>
  </si>
  <si>
    <t>05:06</t>
  </si>
  <si>
    <t>ORCA M30iLTD PWR</t>
  </si>
  <si>
    <t>福智山・鷹取山</t>
  </si>
  <si>
    <t>https://yamap.com/activities/40753410</t>
  </si>
  <si>
    <t>福智山[901m]、鷹取山[633m]</t>
  </si>
  <si>
    <t>05:22</t>
  </si>
  <si>
    <t>耶馬渓</t>
  </si>
  <si>
    <t>https://yamap.com/activities/40833697</t>
  </si>
  <si>
    <t>湯布院</t>
  </si>
  <si>
    <t>https://yamap.com/activities/40833699</t>
  </si>
  <si>
    <t>湯布院、由布岳登山口</t>
  </si>
  <si>
    <t>01:51</t>
  </si>
  <si>
    <t>下関市豊田湖</t>
  </si>
  <si>
    <t>https://yamap.com/activities/40902881</t>
  </si>
  <si>
    <t>豊田湖</t>
  </si>
  <si>
    <t>10:24</t>
  </si>
  <si>
    <t>https://yamap.com/activities/40917023</t>
  </si>
  <si>
    <t>00:54</t>
  </si>
  <si>
    <t>右田ヶ岳</t>
  </si>
  <si>
    <t>https://yamap.com/activities/41027434</t>
  </si>
  <si>
    <t>右田ヶ岳[426m]</t>
  </si>
  <si>
    <t>04:18</t>
  </si>
  <si>
    <t>ツール・ド・下関</t>
  </si>
  <si>
    <t>https://yamap.com/activities/41112592</t>
  </si>
  <si>
    <t>下関市</t>
  </si>
  <si>
    <t>四王司山・岩山・勝山</t>
  </si>
  <si>
    <t>https://yamap.com/activities/41252590</t>
  </si>
  <si>
    <t>四王司山[392m]、岩山[290m]、勝山[361m]</t>
  </si>
  <si>
    <t>04:01</t>
  </si>
  <si>
    <t>下関市・竜王山</t>
  </si>
  <si>
    <t>https://yamap.com/activities/41422725</t>
  </si>
  <si>
    <t>竜王山[614m]</t>
  </si>
  <si>
    <t>03:42</t>
  </si>
  <si>
    <t>三瓶山お鉢巡り</t>
  </si>
  <si>
    <t>https://yamap.com/activities/41467409</t>
  </si>
  <si>
    <t>三瓶山[1126m]</t>
  </si>
  <si>
    <t>奥出雲ループ橋</t>
  </si>
  <si>
    <t>https://yamap.com/activities/41483063</t>
  </si>
  <si>
    <t>04:26</t>
  </si>
  <si>
    <t>吾妻山・烏帽子山・比婆山</t>
  </si>
  <si>
    <t>https://yamap.com/activities/41476361</t>
  </si>
  <si>
    <t>吾妻山[1238m]、烏帽子山[1225m]、比婆山[1264m]</t>
  </si>
  <si>
    <t>03:37</t>
  </si>
  <si>
    <t>林道「大田東山線」</t>
  </si>
  <si>
    <t>https://yamap.com/activities/41546766</t>
  </si>
  <si>
    <t>21世紀の森[511m]、林道「大田東山線」</t>
  </si>
  <si>
    <t>07:50</t>
  </si>
  <si>
    <t>PINARELLO</t>
  </si>
  <si>
    <t>X1</t>
  </si>
  <si>
    <t>伽藍岳</t>
  </si>
  <si>
    <t>https://yamap.com/activities/41570727</t>
  </si>
  <si>
    <t>伽藍岳[1045m]</t>
  </si>
  <si>
    <t>02:36</t>
  </si>
  <si>
    <t>阿武町周辺</t>
  </si>
  <si>
    <t>https://yamap.com/activities/41762855</t>
  </si>
  <si>
    <t>道の駅「阿武町」、道の駅「うり坊の郷」、林道「尾礼2号線」、むつみフラワーロード、雲林寺、道の駅「ハピネスふくえ」</t>
  </si>
  <si>
    <t>04:54</t>
  </si>
  <si>
    <t>一位ヶ岳</t>
  </si>
  <si>
    <t>https://yamap.com/activities/41744269</t>
  </si>
  <si>
    <t>一位ヶ岳[672m]</t>
  </si>
  <si>
    <t>03:25</t>
  </si>
  <si>
    <t>折立から室堂へ</t>
  </si>
  <si>
    <t>https://yamap.com/activities/41874272</t>
  </si>
  <si>
    <t>折立、太郎平、薬師岳[2926m]、スゴ乗越、越中沢岳[2592m]、五色ヶ原、龍王岳[2872m]、
浄土山[2831m]、室堂</t>
  </si>
  <si>
    <t>20:50</t>
  </si>
  <si>
    <t>匹見峡</t>
  </si>
  <si>
    <t>https://yamap.com/activities/42181931</t>
  </si>
  <si>
    <t>https://yamap.com/activities/42776239</t>
  </si>
  <si>
    <t>門司港レトロ、関門人道トンネル、壇ノ浦、赤間神宮</t>
  </si>
  <si>
    <t>03:20</t>
  </si>
  <si>
    <t>山口島根県境</t>
  </si>
  <si>
    <t>https://yamap.com/activities/42835871</t>
  </si>
  <si>
    <t>道の駅「願成就温泉」、道の駅「かきのきむら」、米山峠[740m]、小峰峠[710m]、仏峠[650m]、野道峠[427m]</t>
  </si>
  <si>
    <t>勘十郎岳・亀尾山（大海山）</t>
  </si>
  <si>
    <t>https://yamap.com/activities/42921112</t>
  </si>
  <si>
    <t>火の山[304m]・陶ヶ岳[230m]、大海山[325m]</t>
  </si>
  <si>
    <t>03:36</t>
  </si>
  <si>
    <t>ぐるっとくじゅう周遊道路</t>
  </si>
  <si>
    <t>https://yamap.com/activities/43047939</t>
  </si>
  <si>
    <t>06:49</t>
  </si>
  <si>
    <t>牧ノ戸峠</t>
  </si>
  <si>
    <t>https://yamap.com/activities/43033509</t>
  </si>
  <si>
    <t>牧ノ戸峠[1330m]</t>
  </si>
  <si>
    <t>秋の秋穂</t>
  </si>
  <si>
    <t>https://yamap.com/activities/43304627</t>
  </si>
  <si>
    <t>06:36</t>
  </si>
  <si>
    <t>やまがたロングコース</t>
  </si>
  <si>
    <t>https://yamap.com/activities/43079563</t>
  </si>
  <si>
    <t>08:19</t>
  </si>
  <si>
    <t>長野山</t>
  </si>
  <si>
    <t>https://yamap.com/activities/43440922</t>
  </si>
  <si>
    <t>長野山[1015m]</t>
  </si>
  <si>
    <t>https://yamap.com/activities/43516919</t>
  </si>
  <si>
    <t>05:00</t>
  </si>
  <si>
    <t>山口県西部の県道</t>
  </si>
  <si>
    <t>https://yamap.com/activities/43628403</t>
  </si>
  <si>
    <t>楠こもれびの郷、赤間関街道、道の駅「きくがわ」、道の駅「おふく」、江原ウバーレ集落、別府弁天池、秋吉台</t>
  </si>
  <si>
    <t>08:54</t>
  </si>
  <si>
    <t>狗留孫山</t>
  </si>
  <si>
    <t>https://yamap.com/activities/43756785</t>
  </si>
  <si>
    <t>狗留孫山[616m]</t>
  </si>
  <si>
    <t>山口県西北</t>
  </si>
  <si>
    <t>https://yamap.com/activities/43774284</t>
  </si>
  <si>
    <t>道の駅「きくがわ」、貴飯峠[250m]、有宗ダム、林道「有宗線」、豊田湖、道の駅「蛍街道西ノ市」</t>
  </si>
  <si>
    <t>https://yamap.com/activities/43812734</t>
  </si>
  <si>
    <t>北大船山・大船山</t>
  </si>
  <si>
    <t>https://yamap.com/activities/43833784</t>
  </si>
  <si>
    <t>福岡県嘉麻市から秋月周回</t>
  </si>
  <si>
    <t>https://yamap.com/activities/43933694</t>
  </si>
  <si>
    <t>道の駅「うすい」、林道「南嘉穂１号線」、八丁峠[525m]、秋月、上秋月湖、令和あさくら湖、寺内ダム、林道「上ノ浦」</t>
  </si>
  <si>
    <t>平尾台周辺サイクリング</t>
  </si>
  <si>
    <t>https://yamap.com/activities/43954270</t>
  </si>
  <si>
    <t>道の駅「香春」、平尾台、鱒淵、木屋瀬宿、城山横穴群、石炭記念公園</t>
  </si>
  <si>
    <t>07:57</t>
  </si>
  <si>
    <t>花の海</t>
  </si>
  <si>
    <t>https://yamap.com/activities/44097526</t>
  </si>
  <si>
    <t>くぐり岩、花の海</t>
  </si>
  <si>
    <t>06:35</t>
  </si>
  <si>
    <t>砲台山・妙見山・足立山（霧ヶ岳）・小文字山</t>
  </si>
  <si>
    <t>https://yamap.com/activities/44081118</t>
  </si>
  <si>
    <t>砲台山[442m]、妙見山[519m]、足立山[598m]、小文字山[366m]</t>
  </si>
  <si>
    <t>島根県吉賀町北部サイクリング</t>
  </si>
  <si>
    <t>https://yamap.com/activities/44138676</t>
  </si>
  <si>
    <t>大蛇ケ池、深谷大橋、長瀬峡、林道「河津折元線」、ねむの木、林道「安蔵寺線」</t>
  </si>
  <si>
    <t>愛宕山・雨乞山・御伊勢山</t>
  </si>
  <si>
    <t>https://yamap.com/activities/44164622</t>
  </si>
  <si>
    <t>愛宕山[160m]、雨乞山[180m]、御伊勢山[183m]</t>
  </si>
  <si>
    <t>02:32</t>
  </si>
  <si>
    <t>周南周辺ダム湖巡り</t>
  </si>
  <si>
    <t>https://yamap.com/activities/44234589</t>
  </si>
  <si>
    <t>米泉湖、清流の里、中須の棚田、菅野湖、宇宙の駅、漢陽寺、高瀬湖</t>
  </si>
  <si>
    <t>恐羅漢山・旧羅漢山</t>
  </si>
  <si>
    <t>https://yamap.com/activities/44252518</t>
  </si>
  <si>
    <t>恐羅漢山[1346m]、旧羅漢山[1334m]</t>
  </si>
  <si>
    <t>深入山</t>
  </si>
  <si>
    <t>https://yamap.com/activities/44258571</t>
  </si>
  <si>
    <t>深入山[1153m]</t>
  </si>
  <si>
    <t>02:20</t>
  </si>
  <si>
    <t>三段峡</t>
  </si>
  <si>
    <t>https://yamap.com/activities/44269704</t>
  </si>
  <si>
    <t>02:44</t>
  </si>
  <si>
    <t>岩倉山・高山・雲月山</t>
  </si>
  <si>
    <t>https://yamap.com/activities/44272396</t>
  </si>
  <si>
    <t>岩倉山[880m]、高山[880m]、雲月山[911m]</t>
  </si>
  <si>
    <t>https://yamap.com/activities/44281154</t>
  </si>
  <si>
    <t>錦帯橋</t>
  </si>
  <si>
    <t>https://yamap.com/activities/44289367</t>
  </si>
  <si>
    <t>02:42</t>
  </si>
  <si>
    <t>岩国市錦町</t>
  </si>
  <si>
    <t>https://yamap.com/activities/44338827</t>
  </si>
  <si>
    <t>道の駅「ピュアラインにしき」、とことこトレイン、木谷峡</t>
  </si>
  <si>
    <t>05:29</t>
  </si>
  <si>
    <t>山口市紅葉</t>
  </si>
  <si>
    <t>https://yamap.com/activities/44434290</t>
  </si>
  <si>
    <t>龍福寺、龍蔵寺、瑠璃光寺、菜香亭、常栄寺</t>
  </si>
  <si>
    <t>04:31</t>
  </si>
  <si>
    <t>宇部市紅葉</t>
  </si>
  <si>
    <t>https://yamap.com/activities/44459330</t>
  </si>
  <si>
    <t>来迎寺、江汐公園、宗隣寺庭園</t>
  </si>
  <si>
    <t>防府市紅葉</t>
  </si>
  <si>
    <t>https://yamap.com/activities/44628027</t>
  </si>
  <si>
    <t>防府天満宮、芳松庵、毛利博物館</t>
  </si>
  <si>
    <t>03:49</t>
  </si>
  <si>
    <t>下関市城下町長府</t>
  </si>
  <si>
    <t>https://yamap.com/activities/44639536</t>
  </si>
  <si>
    <t>長府庭園、城下町長府、功山寺、長府毛利邸、東行庵</t>
  </si>
  <si>
    <t>うべサイクルカップ2025</t>
  </si>
  <si>
    <t>https://yamap.com/activities/44744451</t>
  </si>
  <si>
    <t>UBE三菱セメント宇部伊佐専用道路</t>
  </si>
  <si>
    <t>01:01</t>
  </si>
  <si>
    <t>築城基地航空祭</t>
  </si>
  <si>
    <t>https://yamap.com/activities/44744622</t>
  </si>
  <si>
    <t>築城基地</t>
  </si>
  <si>
    <t>萩往還</t>
  </si>
  <si>
    <t>https://yamap.com/activities/44902137</t>
  </si>
  <si>
    <t>西目山</t>
  </si>
  <si>
    <t>https://yamap.com/activities/44928700</t>
  </si>
  <si>
    <t>西目山[312m]</t>
  </si>
  <si>
    <t>01:47</t>
  </si>
  <si>
    <t>宗像・大島一周</t>
  </si>
  <si>
    <t>https://yamap.com/activities/45014135</t>
  </si>
  <si>
    <t>07:11</t>
  </si>
  <si>
    <t>遠賀・宗像</t>
  </si>
  <si>
    <t>https://yamap.com/activities/45027958</t>
  </si>
  <si>
    <t>芦屋海浜公園、リンリンクラブ岡垣、道の駅「むなかた」、宮地嶽神社、赤馬館、くぬぎ原峠[160m]、洞山、芦屋釜の里</t>
  </si>
  <si>
    <t>06:12</t>
  </si>
  <si>
    <t>小倉南</t>
  </si>
  <si>
    <t>https://yamap.com/activities/45094416</t>
  </si>
  <si>
    <t>06:56</t>
  </si>
  <si>
    <t>https://yamap.com/activities/45221499</t>
  </si>
  <si>
    <t>2026年初サイクリング＆山登り(鍋倉山)</t>
  </si>
  <si>
    <t>https://yamap.com/activities/45288354</t>
  </si>
  <si>
    <t>鍋倉山[30m]</t>
  </si>
  <si>
    <t>福岡県鞍手町から須恵町へ周回サイクリング、剣岳</t>
  </si>
  <si>
    <t>https://yamap.com/activities/45473361</t>
  </si>
  <si>
    <t>笠置峠[170m]、林道「龍王線」、林道「第2龍王線」、力丸ダム湖、剣山[126m]</t>
  </si>
  <si>
    <t>男山</t>
  </si>
  <si>
    <t>https://yamap.com/activities/45532706</t>
  </si>
  <si>
    <t>男山[232m]、観音岳[161m]</t>
  </si>
  <si>
    <t>林道「木戸峠線」</t>
  </si>
  <si>
    <t>https://yamap.com/activities/45787668</t>
  </si>
  <si>
    <t>小野湖</t>
  </si>
  <si>
    <t>https://yamap.com/activities/45878501</t>
  </si>
  <si>
    <t>小野湖、大棚駅跡、宇部新川駅</t>
  </si>
  <si>
    <t>04:55</t>
  </si>
  <si>
    <t>https://yamap.com/activities/45892255</t>
  </si>
  <si>
    <t>秋穂の低山巡り</t>
  </si>
  <si>
    <t>https://yamap.com/activities/46007669</t>
  </si>
  <si>
    <t>道の駅「きららあじす」、藤尾山[64m]、臼美歩道、草山[116m]、小浜山[182m]</t>
  </si>
  <si>
    <t>平原岳・飯盛山・禅定寺山・禅定寺（東峰）・雨乞山</t>
  </si>
  <si>
    <t>https://yamap.com/activities/46158474</t>
  </si>
  <si>
    <t>平原岳[395m]、飯盛山[360m]、禅定寺山[392m]、禅定寺（東峰）、雨乞山[258m]</t>
  </si>
  <si>
    <t>04:42</t>
  </si>
  <si>
    <t>山焼き後の秋吉台</t>
  </si>
  <si>
    <t>https://yamap.com/activities/46310167</t>
  </si>
  <si>
    <t>03:09</t>
  </si>
  <si>
    <t>早春の上関</t>
  </si>
  <si>
    <t>https://yamap.com/activities/46391298</t>
  </si>
  <si>
    <t>上関、上関城山歴史公園、上盛山[314m]</t>
  </si>
  <si>
    <t>防府天満宮</t>
  </si>
  <si>
    <t>https://yamap.com/activities/46450897</t>
  </si>
  <si>
    <t>00:44</t>
  </si>
  <si>
    <t>https://yamap.com/activities/46509630</t>
  </si>
  <si>
    <t>03:29</t>
  </si>
  <si>
    <t>能古島・糸島、立石山登山</t>
  </si>
  <si>
    <t>https://yamap.com/activities/46638527</t>
  </si>
  <si>
    <t>深坂自然の森サイクリング</t>
  </si>
  <si>
    <t>https://yamap.com/activities/46747898</t>
  </si>
  <si>
    <t>深坂自然の森</t>
  </si>
  <si>
    <t>00:42</t>
  </si>
  <si>
    <t>一目山・みそこぶし山・女岳・涌蓋山</t>
  </si>
  <si>
    <t>https://yamap.com/activities/46891367</t>
  </si>
  <si>
    <t>https://yamap.com/activities/46935187</t>
  </si>
  <si>
    <t>02:27</t>
  </si>
  <si>
    <t>荒滝山・日ノ岳</t>
  </si>
  <si>
    <t>https://yamap.com/activities/47045122</t>
  </si>
  <si>
    <t>荒滝山[459m]、日ノ岳[459m]</t>
  </si>
  <si>
    <t>02:16</t>
  </si>
  <si>
    <t>一の坂川</t>
  </si>
  <si>
    <t>https://yamap.com/activities/47084692</t>
  </si>
  <si>
    <t>一の坂川、瑠璃光寺、常栄寺雪舟庭</t>
  </si>
  <si>
    <t>01:11</t>
  </si>
  <si>
    <t>津和野城跡</t>
  </si>
  <si>
    <t>https://yamap.com/activities/47672844</t>
  </si>
  <si>
    <t>津和野城跡、太皷谷稲成神社、津和野</t>
  </si>
  <si>
    <t>03:08</t>
  </si>
  <si>
    <t>津和野周辺</t>
  </si>
  <si>
    <t>https://yamap.com/activities/47721099</t>
  </si>
  <si>
    <t>韓国岳</t>
  </si>
  <si>
    <t>https://yamap.com/activities/47873584</t>
  </si>
  <si>
    <t>えびの高原</t>
  </si>
  <si>
    <t>https://yamap.com/activities/47959698</t>
  </si>
  <si>
    <t>03:32</t>
  </si>
  <si>
    <t>東霧島神社</t>
  </si>
  <si>
    <t>https://yamap.com/activities/47933652</t>
  </si>
  <si>
    <t>00:43</t>
  </si>
  <si>
    <t>高千穂峰</t>
  </si>
  <si>
    <t>https://yamap.com/activities/47977237</t>
  </si>
  <si>
    <t>高千穂峰[1574m]</t>
  </si>
  <si>
    <t>03:21</t>
  </si>
  <si>
    <t>俵山</t>
  </si>
  <si>
    <t>https://yamap.com/activities/48077876</t>
  </si>
  <si>
    <t>俵山[1095m]</t>
  </si>
  <si>
    <t>高千穂峡</t>
  </si>
  <si>
    <t>https://yamap.com/activities/48209448</t>
  </si>
  <si>
    <t>02:11</t>
  </si>
  <si>
    <t>津和野から須佐</t>
  </si>
  <si>
    <t>https://yamap.com/activities/48243611</t>
  </si>
  <si>
    <t>須佐のホルンフェルス、道の駅「うり坊の郷、津和野</t>
  </si>
  <si>
    <t>06:05</t>
  </si>
  <si>
    <t>島根県吉賀町</t>
  </si>
  <si>
    <t>https://yamap.com/activities/48398786</t>
  </si>
  <si>
    <t>幹線林道「波佐・阿武線」</t>
  </si>
  <si>
    <t>https://yamap.com/activities/48423045</t>
  </si>
  <si>
    <t>01:55</t>
  </si>
  <si>
    <t>羅漢山周辺</t>
  </si>
  <si>
    <t>https://yamap.com/activities/48576878</t>
  </si>
  <si>
    <t>06:22</t>
  </si>
  <si>
    <t>https://yamap.com/activities/48755606</t>
  </si>
  <si>
    <t>周南奥地</t>
  </si>
  <si>
    <t>https://yamap.com/activities/48929582</t>
  </si>
  <si>
    <t>中須北地区、道の駅「ピュアラインにしき」、宇宙の駅</t>
  </si>
  <si>
    <t>07:08</t>
  </si>
  <si>
    <t>https://yamap.com/activities/49084513</t>
  </si>
  <si>
    <t>香春町低山</t>
  </si>
  <si>
    <t>https://yamap.com/activities/49267036</t>
  </si>
  <si>
    <t>津和野町日原周辺</t>
  </si>
  <si>
    <t>https://yamap.com/activities/49368130</t>
  </si>
  <si>
    <t>左鎧、林道「三子山線」</t>
  </si>
  <si>
    <t>天狗塚</t>
  </si>
  <si>
    <t>https://yamap.com/activities/49543927</t>
  </si>
  <si>
    <t>天狗塚[1812m]</t>
  </si>
  <si>
    <t>https://yamap.com/activities/49580047</t>
  </si>
  <si>
    <t>道の駅「 木の香」、瓶ヶ森林道、UFOライン、吉野川源流の碑[1668m]</t>
  </si>
  <si>
    <t>04:36</t>
  </si>
  <si>
    <t>https://yamap.com/activities/49929516</t>
  </si>
  <si>
    <t>聖湖周辺</t>
  </si>
  <si>
    <t>https://yamap.com/activities/50003232</t>
  </si>
  <si>
    <t>聖湖、八幡高原、浸命水</t>
  </si>
  <si>
    <t>神奈川</t>
    <rPh sb="0" eb="3">
      <t>カナガワ</t>
    </rPh>
    <phoneticPr fontId="2"/>
  </si>
  <si>
    <t>岩手</t>
    <rPh sb="0" eb="2">
      <t>イワテ</t>
    </rPh>
    <phoneticPr fontId="2"/>
  </si>
  <si>
    <t>猊鼻渓</t>
    <phoneticPr fontId="2"/>
  </si>
  <si>
    <t>栃木</t>
    <phoneticPr fontId="2"/>
  </si>
  <si>
    <t>阿蘇神社</t>
    <phoneticPr fontId="2"/>
  </si>
  <si>
    <t>東京</t>
    <phoneticPr fontId="2"/>
  </si>
  <si>
    <t>山口</t>
    <phoneticPr fontId="2"/>
  </si>
  <si>
    <t>長野</t>
    <phoneticPr fontId="2"/>
  </si>
  <si>
    <t>京都</t>
    <rPh sb="0" eb="2">
      <t>キョウト</t>
    </rPh>
    <phoneticPr fontId="2"/>
  </si>
  <si>
    <t>長野</t>
    <rPh sb="0" eb="2">
      <t>ナガノ</t>
    </rPh>
    <phoneticPr fontId="2"/>
  </si>
  <si>
    <t>山梨</t>
    <rPh sb="0" eb="2">
      <t>ヤマナシ</t>
    </rPh>
    <phoneticPr fontId="2"/>
  </si>
  <si>
    <t>東京、神奈川</t>
    <rPh sb="0" eb="2">
      <t>トウキョウ</t>
    </rPh>
    <rPh sb="3" eb="6">
      <t>カナガワ</t>
    </rPh>
    <phoneticPr fontId="2"/>
  </si>
  <si>
    <t>群馬、長野</t>
    <rPh sb="0" eb="2">
      <t>グンマ</t>
    </rPh>
    <rPh sb="3" eb="5">
      <t>ナガノ</t>
    </rPh>
    <phoneticPr fontId="2"/>
  </si>
  <si>
    <t>東京、山梨</t>
    <rPh sb="0" eb="2">
      <t>トウキョウ</t>
    </rPh>
    <rPh sb="3" eb="5">
      <t>ヤマナシ</t>
    </rPh>
    <phoneticPr fontId="2"/>
  </si>
  <si>
    <t>山梨、長野</t>
    <rPh sb="0" eb="2">
      <t>ヤマナシ</t>
    </rPh>
    <rPh sb="3" eb="5">
      <t>ナガノ</t>
    </rPh>
    <phoneticPr fontId="2"/>
  </si>
  <si>
    <t>東京</t>
    <rPh sb="0" eb="2">
      <t>トウキョウ</t>
    </rPh>
    <phoneticPr fontId="2"/>
  </si>
  <si>
    <t>埼玉、東京</t>
    <rPh sb="0" eb="2">
      <t>サイタマ</t>
    </rPh>
    <rPh sb="3" eb="5">
      <t>トウキョウ</t>
    </rPh>
    <phoneticPr fontId="2"/>
  </si>
  <si>
    <t>熊本</t>
    <phoneticPr fontId="2"/>
  </si>
  <si>
    <t>山口、福岡</t>
    <phoneticPr fontId="2"/>
  </si>
  <si>
    <t>山梨</t>
    <phoneticPr fontId="2"/>
  </si>
  <si>
    <t>千葉</t>
    <rPh sb="0" eb="2">
      <t>チバ</t>
    </rPh>
    <phoneticPr fontId="2"/>
  </si>
  <si>
    <t>千葉、東京</t>
    <rPh sb="0" eb="2">
      <t>チバ</t>
    </rPh>
    <rPh sb="3" eb="5">
      <t>トウキョウ</t>
    </rPh>
    <phoneticPr fontId="2"/>
  </si>
  <si>
    <t>埼玉</t>
    <rPh sb="0" eb="2">
      <t>サイタマ</t>
    </rPh>
    <phoneticPr fontId="2"/>
  </si>
  <si>
    <t>茨城</t>
    <rPh sb="0" eb="2">
      <t>イバラキ</t>
    </rPh>
    <phoneticPr fontId="2"/>
  </si>
  <si>
    <t>東京、神奈川</t>
    <rPh sb="3" eb="6">
      <t>カナガワ</t>
    </rPh>
    <phoneticPr fontId="2"/>
  </si>
  <si>
    <t>東京、神奈川、山梨、長野、新潟</t>
    <rPh sb="3" eb="6">
      <t>カナガワ</t>
    </rPh>
    <rPh sb="7" eb="9">
      <t>ヤマナシ</t>
    </rPh>
    <rPh sb="10" eb="12">
      <t>ナガノ</t>
    </rPh>
    <rPh sb="13" eb="15">
      <t>ニイガタ</t>
    </rPh>
    <phoneticPr fontId="2"/>
  </si>
  <si>
    <t>埼玉、山梨、長野</t>
    <rPh sb="0" eb="2">
      <t>サイタマ</t>
    </rPh>
    <rPh sb="3" eb="5">
      <t>ヤマナシ</t>
    </rPh>
    <rPh sb="6" eb="8">
      <t>ナガノ</t>
    </rPh>
    <phoneticPr fontId="2"/>
  </si>
  <si>
    <t>和田峠[686m]、陣馬山[857m]、景信山[727m]</t>
    <phoneticPr fontId="2"/>
  </si>
  <si>
    <t>茨城</t>
    <phoneticPr fontId="2"/>
  </si>
  <si>
    <t>埼玉、東京、長野</t>
    <rPh sb="0" eb="2">
      <t>サイタマ</t>
    </rPh>
    <rPh sb="3" eb="5">
      <t>トウキョウ</t>
    </rPh>
    <rPh sb="6" eb="8">
      <t>ナガノ</t>
    </rPh>
    <phoneticPr fontId="2"/>
  </si>
  <si>
    <t>埼玉、東京</t>
    <rPh sb="3" eb="5">
      <t>トウキョウ</t>
    </rPh>
    <phoneticPr fontId="2"/>
  </si>
  <si>
    <t>群馬</t>
    <rPh sb="0" eb="2">
      <t>グンマ</t>
    </rPh>
    <phoneticPr fontId="2"/>
  </si>
  <si>
    <t>静岡</t>
    <phoneticPr fontId="2"/>
  </si>
  <si>
    <t>関宿、江戸川</t>
    <phoneticPr fontId="2"/>
  </si>
  <si>
    <t>山口</t>
    <rPh sb="0" eb="2">
      <t>ヤマグチ</t>
    </rPh>
    <phoneticPr fontId="2"/>
  </si>
  <si>
    <t>島根、山口</t>
    <rPh sb="0" eb="2">
      <t>シマネ</t>
    </rPh>
    <rPh sb="3" eb="5">
      <t>ヤマグチ</t>
    </rPh>
    <phoneticPr fontId="2"/>
  </si>
  <si>
    <t>群馬、埼玉、長野</t>
    <rPh sb="3" eb="5">
      <t>サイタマ</t>
    </rPh>
    <rPh sb="6" eb="8">
      <t>ナガノ</t>
    </rPh>
    <phoneticPr fontId="2"/>
  </si>
  <si>
    <t>青森</t>
    <rPh sb="0" eb="2">
      <t>アオモリ</t>
    </rPh>
    <phoneticPr fontId="2"/>
  </si>
  <si>
    <t>秋田、岩手</t>
    <rPh sb="0" eb="2">
      <t>アキタ</t>
    </rPh>
    <rPh sb="3" eb="5">
      <t>イワテ</t>
    </rPh>
    <phoneticPr fontId="2"/>
  </si>
  <si>
    <t>山梨、静岡</t>
    <rPh sb="0" eb="2">
      <t>ヤマナシ</t>
    </rPh>
    <rPh sb="3" eb="5">
      <t>シズオカ</t>
    </rPh>
    <phoneticPr fontId="2"/>
  </si>
  <si>
    <t>千葉</t>
    <phoneticPr fontId="2"/>
  </si>
  <si>
    <t>福島</t>
    <rPh sb="0" eb="2">
      <t>フクシマ</t>
    </rPh>
    <phoneticPr fontId="2"/>
  </si>
  <si>
    <t>神奈川、静岡</t>
    <phoneticPr fontId="2"/>
  </si>
  <si>
    <t>群馬</t>
    <phoneticPr fontId="2"/>
  </si>
  <si>
    <r>
      <rPr>
        <sz val="11"/>
        <color rgb="FF000000"/>
        <rFont val="ＭＳ ゴシック"/>
        <family val="3"/>
        <charset val="128"/>
      </rPr>
      <t>東京</t>
    </r>
    <r>
      <rPr>
        <sz val="11"/>
        <color rgb="FF000000"/>
        <rFont val="Carlito"/>
      </rPr>
      <t>、神奈川</t>
    </r>
    <rPh sb="3" eb="6">
      <t>カナガワ</t>
    </rPh>
    <phoneticPr fontId="2"/>
  </si>
  <si>
    <t>神奈川、静岡</t>
    <rPh sb="0" eb="3">
      <t>カナガワ</t>
    </rPh>
    <rPh sb="4" eb="6">
      <t>シズオカ</t>
    </rPh>
    <phoneticPr fontId="2"/>
  </si>
  <si>
    <t>神奈川</t>
    <phoneticPr fontId="2"/>
  </si>
  <si>
    <t>柳沢峠[1472m]、阿蘇神社、羽村の根搦み前水田</t>
    <phoneticPr fontId="2"/>
  </si>
  <si>
    <t>山伏峠[621m]、正丸峠[640m]、奥武蔵グリーンライン、東峠[445m]</t>
    <phoneticPr fontId="2"/>
  </si>
  <si>
    <t>群馬、長野</t>
    <rPh sb="3" eb="5">
      <t>ナガノ</t>
    </rPh>
    <phoneticPr fontId="2"/>
  </si>
  <si>
    <t>狭山湖</t>
    <phoneticPr fontId="2"/>
  </si>
  <si>
    <t>多摩湖、狭山湖</t>
    <phoneticPr fontId="2"/>
  </si>
  <si>
    <t>埼玉</t>
    <phoneticPr fontId="2"/>
  </si>
  <si>
    <t>ぶどう峠[1510m]、麦草峠[2127m]、十国峠[1351m]</t>
    <phoneticPr fontId="2"/>
  </si>
  <si>
    <t>高雄</t>
    <rPh sb="0" eb="2">
      <t>タカオ</t>
    </rPh>
    <phoneticPr fontId="2"/>
  </si>
  <si>
    <r>
      <rPr>
        <sz val="11"/>
        <color rgb="FF000000"/>
        <rFont val="ＭＳ ゴシック"/>
        <family val="3"/>
        <charset val="128"/>
      </rPr>
      <t>山梨</t>
    </r>
    <r>
      <rPr>
        <sz val="11"/>
        <color rgb="FF000000"/>
        <rFont val="Carlito"/>
      </rPr>
      <t>、長野</t>
    </r>
    <rPh sb="3" eb="5">
      <t>ナガノ</t>
    </rPh>
    <phoneticPr fontId="2"/>
  </si>
  <si>
    <t>奥多摩周遊道路、都民の森[1000m]</t>
    <phoneticPr fontId="2"/>
  </si>
  <si>
    <t>山梨、静岡</t>
    <rPh sb="0" eb="2">
      <t>ヤマナシ</t>
    </rPh>
    <phoneticPr fontId="2"/>
  </si>
  <si>
    <t>ヴェルニー公園、三笠公園、城ヶ島、江ノ島</t>
    <phoneticPr fontId="2"/>
  </si>
  <si>
    <t>徳島</t>
    <rPh sb="0" eb="2">
      <t>トクシマ</t>
    </rPh>
    <phoneticPr fontId="2"/>
  </si>
  <si>
    <r>
      <rPr>
        <sz val="11"/>
        <color rgb="FF000000"/>
        <rFont val="ＭＳ ゴシック"/>
        <family val="3"/>
        <charset val="128"/>
      </rPr>
      <t>長野</t>
    </r>
    <r>
      <rPr>
        <sz val="11"/>
        <color rgb="FF000000"/>
        <rFont val="Carlito"/>
      </rPr>
      <t>、岐阜</t>
    </r>
    <rPh sb="3" eb="5">
      <t>ギフ</t>
    </rPh>
    <phoneticPr fontId="2"/>
  </si>
  <si>
    <t>福岡</t>
    <rPh sb="0" eb="2">
      <t>フクオカ</t>
    </rPh>
    <phoneticPr fontId="2"/>
  </si>
  <si>
    <t>三原山[758m]</t>
    <phoneticPr fontId="2"/>
  </si>
  <si>
    <t>香川</t>
    <rPh sb="0" eb="2">
      <t>カガワ</t>
    </rPh>
    <phoneticPr fontId="2"/>
  </si>
  <si>
    <t>富山</t>
    <rPh sb="0" eb="2">
      <t>トヤマ</t>
    </rPh>
    <phoneticPr fontId="2"/>
  </si>
  <si>
    <t>薬師沢小屋、雲ノ平、祖父岳[2825m]、水晶小屋</t>
    <phoneticPr fontId="2"/>
  </si>
  <si>
    <t>柏原新道登山口、種池山荘</t>
    <phoneticPr fontId="2"/>
  </si>
  <si>
    <t>富山、長野、岐阜</t>
    <rPh sb="3" eb="5">
      <t>ナガノ</t>
    </rPh>
    <rPh sb="6" eb="8">
      <t>ギフ</t>
    </rPh>
    <phoneticPr fontId="2"/>
  </si>
  <si>
    <t>富山、長野</t>
    <rPh sb="3" eb="5">
      <t>ナガノ</t>
    </rPh>
    <phoneticPr fontId="2"/>
  </si>
  <si>
    <t>富山</t>
    <phoneticPr fontId="2"/>
  </si>
  <si>
    <t>多摩散策</t>
    <rPh sb="0" eb="2">
      <t>タマ</t>
    </rPh>
    <rPh sb="2" eb="4">
      <t>サンサク</t>
    </rPh>
    <phoneticPr fontId="2"/>
  </si>
  <si>
    <t>埼玉、東京</t>
    <phoneticPr fontId="2"/>
  </si>
  <si>
    <t>奈良</t>
    <rPh sb="0" eb="2">
      <t>ナラ</t>
    </rPh>
    <phoneticPr fontId="2"/>
  </si>
  <si>
    <t>群馬、埼玉</t>
    <rPh sb="0" eb="2">
      <t>グンマ</t>
    </rPh>
    <rPh sb="3" eb="5">
      <t>サイタマ</t>
    </rPh>
    <phoneticPr fontId="2"/>
  </si>
  <si>
    <t>新潟、福島</t>
    <rPh sb="0" eb="2">
      <t>ニイガタ</t>
    </rPh>
    <rPh sb="3" eb="5">
      <t>フクシマ</t>
    </rPh>
    <phoneticPr fontId="2"/>
  </si>
  <si>
    <t>埼玉、東京</t>
    <rPh sb="0" eb="2">
      <t>サイタマ</t>
    </rPh>
    <phoneticPr fontId="2"/>
  </si>
  <si>
    <r>
      <rPr>
        <sz val="11"/>
        <color rgb="FF000000"/>
        <rFont val="ＭＳ ゴシック"/>
        <family val="3"/>
        <charset val="128"/>
      </rPr>
      <t>埼玉</t>
    </r>
    <r>
      <rPr>
        <sz val="11"/>
        <color rgb="FF000000"/>
        <rFont val="Carlito"/>
      </rPr>
      <t>、東京</t>
    </r>
    <rPh sb="3" eb="5">
      <t>トウキョウ</t>
    </rPh>
    <phoneticPr fontId="2"/>
  </si>
  <si>
    <t>新田川緑道、分倍河原古戦場、府中の郷土の森、いききの道、東郷寺、プロペラカフェ</t>
    <phoneticPr fontId="2"/>
  </si>
  <si>
    <t>加藤牧場、若宮橋、多和目橋、多和目天神橋、醤油王国、あけぼの子どもの森公園</t>
    <phoneticPr fontId="2"/>
  </si>
  <si>
    <r>
      <rPr>
        <sz val="11"/>
        <color rgb="FF000000"/>
        <rFont val="ＭＳ ゴシック"/>
        <family val="3"/>
        <charset val="128"/>
      </rPr>
      <t>群馬</t>
    </r>
    <r>
      <rPr>
        <sz val="11"/>
        <color rgb="FF000000"/>
        <rFont val="Carlito"/>
      </rPr>
      <t>、長野</t>
    </r>
    <rPh sb="3" eb="5">
      <t>ナガノ</t>
    </rPh>
    <phoneticPr fontId="2"/>
  </si>
  <si>
    <t>西湖野鳥の森公園、富士芝桜まつり</t>
    <phoneticPr fontId="2"/>
  </si>
  <si>
    <t>広島、愛媛</t>
    <rPh sb="0" eb="2">
      <t>ヒロシマ</t>
    </rPh>
    <rPh sb="3" eb="5">
      <t>エヒメ</t>
    </rPh>
    <phoneticPr fontId="2"/>
  </si>
  <si>
    <t>広島</t>
    <rPh sb="0" eb="2">
      <t>ヒロシマ</t>
    </rPh>
    <phoneticPr fontId="2"/>
  </si>
  <si>
    <t>広島</t>
    <phoneticPr fontId="2"/>
  </si>
  <si>
    <t>福島、栃木</t>
    <rPh sb="0" eb="2">
      <t>フクシマ</t>
    </rPh>
    <phoneticPr fontId="2"/>
  </si>
  <si>
    <t>鳥取、岡山</t>
    <rPh sb="0" eb="2">
      <t>トットリ</t>
    </rPh>
    <rPh sb="3" eb="5">
      <t>オカヤマ</t>
    </rPh>
    <phoneticPr fontId="2"/>
  </si>
  <si>
    <t>岐阜</t>
    <phoneticPr fontId="2"/>
  </si>
  <si>
    <t>愛知</t>
    <rPh sb="0" eb="2">
      <t>アイチ</t>
    </rPh>
    <phoneticPr fontId="2"/>
  </si>
  <si>
    <t>愛知、岐阜</t>
    <rPh sb="0" eb="2">
      <t>アイチ</t>
    </rPh>
    <rPh sb="3" eb="5">
      <t>ギフ</t>
    </rPh>
    <phoneticPr fontId="2"/>
  </si>
  <si>
    <t>長野、静岡</t>
    <rPh sb="0" eb="2">
      <t>ナガノ</t>
    </rPh>
    <phoneticPr fontId="2"/>
  </si>
  <si>
    <t>長野、愛知</t>
    <rPh sb="0" eb="2">
      <t>ナガノ</t>
    </rPh>
    <rPh sb="3" eb="5">
      <t>アイチ</t>
    </rPh>
    <phoneticPr fontId="2"/>
  </si>
  <si>
    <t>長野、岐阜</t>
    <rPh sb="0" eb="2">
      <t>ナガノ</t>
    </rPh>
    <rPh sb="3" eb="5">
      <t>ギフ</t>
    </rPh>
    <phoneticPr fontId="2"/>
  </si>
  <si>
    <t>新潟、長野</t>
    <rPh sb="0" eb="2">
      <t>ニイガタ</t>
    </rPh>
    <rPh sb="3" eb="5">
      <t>ナガノ</t>
    </rPh>
    <phoneticPr fontId="2"/>
  </si>
  <si>
    <t>栃木、群馬</t>
    <rPh sb="0" eb="2">
      <t>トチギ</t>
    </rPh>
    <rPh sb="3" eb="5">
      <t>グンマ</t>
    </rPh>
    <phoneticPr fontId="2"/>
  </si>
  <si>
    <t>三重</t>
    <rPh sb="0" eb="2">
      <t>ミエ</t>
    </rPh>
    <phoneticPr fontId="2"/>
  </si>
  <si>
    <t>和歌山</t>
    <rPh sb="0" eb="3">
      <t>ワカヤマ</t>
    </rPh>
    <phoneticPr fontId="2"/>
  </si>
  <si>
    <t>奈良、和歌山</t>
    <rPh sb="3" eb="6">
      <t>ワカヤマ</t>
    </rPh>
    <phoneticPr fontId="2"/>
  </si>
  <si>
    <t>三重、奈良、和歌山</t>
    <rPh sb="0" eb="2">
      <t>ミエ</t>
    </rPh>
    <phoneticPr fontId="2"/>
  </si>
  <si>
    <t>岐阜</t>
    <rPh sb="0" eb="2">
      <t>ギフ</t>
    </rPh>
    <phoneticPr fontId="2"/>
  </si>
  <si>
    <t>栃木</t>
    <rPh sb="0" eb="2">
      <t>トチギ</t>
    </rPh>
    <phoneticPr fontId="2"/>
  </si>
  <si>
    <t>新潟</t>
    <rPh sb="0" eb="2">
      <t>ニイガタ</t>
    </rPh>
    <phoneticPr fontId="2"/>
  </si>
  <si>
    <t>福井、滋賀</t>
    <rPh sb="0" eb="2">
      <t>フクイ</t>
    </rPh>
    <rPh sb="3" eb="5">
      <t>シガ</t>
    </rPh>
    <phoneticPr fontId="2"/>
  </si>
  <si>
    <t>福井</t>
    <phoneticPr fontId="2"/>
  </si>
  <si>
    <r>
      <rPr>
        <sz val="11"/>
        <color rgb="FF000000"/>
        <rFont val="ＭＳ ゴシック"/>
        <family val="3"/>
        <charset val="128"/>
      </rPr>
      <t>埼玉</t>
    </r>
    <r>
      <rPr>
        <sz val="11"/>
        <color rgb="FF000000"/>
        <rFont val="Carlito"/>
      </rPr>
      <t>、長野</t>
    </r>
    <rPh sb="3" eb="5">
      <t>ナガノ</t>
    </rPh>
    <phoneticPr fontId="2"/>
  </si>
  <si>
    <t>神奈川、静岡</t>
    <rPh sb="4" eb="6">
      <t>シズオカ</t>
    </rPh>
    <phoneticPr fontId="2"/>
  </si>
  <si>
    <t>湯西川周回</t>
    <phoneticPr fontId="2"/>
  </si>
  <si>
    <t>福島、新潟</t>
    <rPh sb="0" eb="2">
      <t>フクシマ</t>
    </rPh>
    <rPh sb="3" eb="5">
      <t>ニイガタ</t>
    </rPh>
    <phoneticPr fontId="2"/>
  </si>
  <si>
    <t>千葉、東京</t>
    <rPh sb="3" eb="5">
      <t>トウキョウ</t>
    </rPh>
    <phoneticPr fontId="2"/>
  </si>
  <si>
    <t>三重、奈良、和歌山</t>
    <rPh sb="0" eb="2">
      <t>ミエ</t>
    </rPh>
    <rPh sb="3" eb="5">
      <t>ナラ</t>
    </rPh>
    <rPh sb="6" eb="9">
      <t>ワカヤマ</t>
    </rPh>
    <phoneticPr fontId="2"/>
  </si>
  <si>
    <t>高知</t>
    <rPh sb="0" eb="2">
      <t>コウチ</t>
    </rPh>
    <phoneticPr fontId="2"/>
  </si>
  <si>
    <t>大分</t>
    <rPh sb="0" eb="2">
      <t>オオイタ</t>
    </rPh>
    <phoneticPr fontId="2"/>
  </si>
  <si>
    <t>山梨、静岡</t>
    <rPh sb="3" eb="5">
      <t>シズオカ</t>
    </rPh>
    <phoneticPr fontId="2"/>
  </si>
  <si>
    <t>新潟、福島、栃木、埼玉、東京</t>
    <rPh sb="0" eb="2">
      <t>ニイガタ</t>
    </rPh>
    <rPh sb="3" eb="5">
      <t>フクシマ</t>
    </rPh>
    <rPh sb="6" eb="8">
      <t>トチギ</t>
    </rPh>
    <rPh sb="9" eb="11">
      <t>サイタマ</t>
    </rPh>
    <rPh sb="12" eb="14">
      <t>トウキョウ</t>
    </rPh>
    <phoneticPr fontId="2"/>
  </si>
  <si>
    <t>島根</t>
    <rPh sb="0" eb="2">
      <t>シマネ</t>
    </rPh>
    <phoneticPr fontId="2"/>
  </si>
  <si>
    <t>大分、熊本</t>
    <rPh sb="0" eb="2">
      <t>オオイタ</t>
    </rPh>
    <rPh sb="3" eb="5">
      <t>クマモト</t>
    </rPh>
    <phoneticPr fontId="2"/>
  </si>
  <si>
    <t>日田市周辺</t>
    <phoneticPr fontId="2"/>
  </si>
  <si>
    <t>日田市、日田往還、竹地区の棚田、進撃の巨人 in HITA ミュージアム</t>
    <phoneticPr fontId="2"/>
  </si>
  <si>
    <t>宮崎、鹿児島</t>
    <rPh sb="0" eb="2">
      <t>ミヤザキ</t>
    </rPh>
    <rPh sb="3" eb="6">
      <t>カゴシマ</t>
    </rPh>
    <phoneticPr fontId="2"/>
  </si>
  <si>
    <t>宮崎</t>
    <phoneticPr fontId="2"/>
  </si>
  <si>
    <t>熊本</t>
    <rPh sb="0" eb="2">
      <t>クマモト</t>
    </rPh>
    <phoneticPr fontId="2"/>
  </si>
  <si>
    <t>島根、広島、山口</t>
    <rPh sb="0" eb="2">
      <t>シマネ</t>
    </rPh>
    <rPh sb="3" eb="5">
      <t>ヒロシマ</t>
    </rPh>
    <rPh sb="6" eb="8">
      <t>ヤマグチ</t>
    </rPh>
    <phoneticPr fontId="2"/>
  </si>
  <si>
    <t>愛媛、高知</t>
    <rPh sb="0" eb="2">
      <t>エヒメ</t>
    </rPh>
    <rPh sb="3" eb="5">
      <t>コウチ</t>
    </rPh>
    <phoneticPr fontId="2"/>
  </si>
  <si>
    <t>UFOライン</t>
    <phoneticPr fontId="2"/>
  </si>
  <si>
    <t>大分</t>
    <rPh sb="0" eb="2">
      <t>オオイタ</t>
    </rPh>
    <phoneticPr fontId="2"/>
  </si>
  <si>
    <t>宮崎</t>
    <rPh sb="0" eb="2">
      <t>ミヤザキ</t>
    </rPh>
    <phoneticPr fontId="2"/>
  </si>
  <si>
    <t>韓国岳[1700m]</t>
    <phoneticPr fontId="2"/>
  </si>
  <si>
    <t>道の駅「えびの」、えびの高原</t>
    <phoneticPr fontId="2"/>
  </si>
  <si>
    <t>山梨、長野</t>
    <rPh sb="3" eb="5">
      <t>ナガノ</t>
    </rPh>
    <phoneticPr fontId="2"/>
  </si>
  <si>
    <t>泉水山[1296m]、上泉水山[1447m]、黒岩山[1503m]、牧ノ戸峠</t>
    <rPh sb="34" eb="35">
      <t>マキ</t>
    </rPh>
    <rPh sb="36" eb="38">
      <t>トトウゲ</t>
    </rPh>
    <phoneticPr fontId="2"/>
  </si>
  <si>
    <t>泉水山・上泉水山・黒岩山</t>
    <phoneticPr fontId="2"/>
  </si>
  <si>
    <t>道の駅「なかつ」、耶馬渓、メイプル耶馬サイクリングロード、道の駅「やまくに」、猿飛千壺峡</t>
    <phoneticPr fontId="2"/>
  </si>
  <si>
    <t>男池駐車場、平治岳[1643m]、坊ガツル、長者原</t>
    <phoneticPr fontId="2"/>
  </si>
  <si>
    <t>男池駐車場、平治岳[1643m]、坊ガツル、諏蛾守越、曲駐車場</t>
    <phoneticPr fontId="2"/>
  </si>
  <si>
    <t>松の木峠[776m]、秋掛往還道、道の駅「ピュアラインにしき」</t>
    <phoneticPr fontId="2"/>
  </si>
  <si>
    <t>男池駐車場、北大船山[1706m]、大船山[1786m]、坊ガツル、長者原</t>
    <phoneticPr fontId="2"/>
  </si>
  <si>
    <t>長者原、ぐるっとくじゅう周遊道路、道の駅「ながゆ温泉」、男池、タデ原湿原</t>
    <rPh sb="0" eb="3">
      <t>チョウジャバル</t>
    </rPh>
    <phoneticPr fontId="2"/>
  </si>
  <si>
    <t>一目山[1287m]、みそこぶし山[1299m]、女岳[1425m]、涌蓋山[1500m]、九重“夢”大吊橋</t>
    <phoneticPr fontId="2"/>
  </si>
  <si>
    <t>牧ノ戸峠、大曲駐車場、三俣山[1744m]、中岳[1791m]、久住分かれ</t>
    <phoneticPr fontId="2"/>
  </si>
  <si>
    <t>草千里、烏帽子岳[1337m]、杵島岳[1326m]</t>
    <phoneticPr fontId="2"/>
  </si>
  <si>
    <t>仙酔峡、中岳[1506m]、高岳[1592m]、南岳[1496m]、阿蘇噴煙展望公園駐車場</t>
    <phoneticPr fontId="2"/>
  </si>
  <si>
    <t>道の駅「香春」、今川サイクリングロード、馬ヶ岳[216m]、障子ヶ岳[427m]、味見峠</t>
    <phoneticPr fontId="2"/>
  </si>
  <si>
    <t>英彦山・八丁峠</t>
    <phoneticPr fontId="2"/>
  </si>
  <si>
    <t>道の駅「おおとう桜街道」、伊良原ダム、英彦山近くの国道500号線、秋月湖、八丁峠[525m]</t>
    <rPh sb="22" eb="23">
      <t>チカ</t>
    </rPh>
    <rPh sb="25" eb="27">
      <t>コクドウ</t>
    </rPh>
    <rPh sb="30" eb="32">
      <t>ゴウセン</t>
    </rPh>
    <phoneticPr fontId="2"/>
  </si>
  <si>
    <t>姪浜、能古島、岐志、立石山[210m]、桜井二見ヶ浦 夫婦岩、百道浜</t>
    <phoneticPr fontId="2"/>
  </si>
  <si>
    <t>戸ノ上山・足立山・小文字山</t>
    <phoneticPr fontId="2"/>
  </si>
  <si>
    <t>足立公園広場展望台駐車場、平尾台、河内貯水池、林道「市ノ瀬奥田線」、小倉城</t>
    <phoneticPr fontId="2"/>
  </si>
  <si>
    <t>道の駅「むなかた」、神湊港、大島、遠賀宗像サイクリングロード、宗像大社、鎮國寺</t>
    <phoneticPr fontId="2"/>
  </si>
  <si>
    <t>宇部</t>
    <rPh sb="0" eb="2">
      <t>ウベ</t>
    </rPh>
    <phoneticPr fontId="2"/>
  </si>
  <si>
    <t>キワ・ラ・ビーチ、日ノ山[146m]</t>
    <phoneticPr fontId="2"/>
  </si>
  <si>
    <t>紫金山・アトラス彗星を見に多摩湖へ</t>
    <rPh sb="8" eb="10">
      <t>スイセイ</t>
    </rPh>
    <rPh sb="11" eb="12">
      <t>ミ</t>
    </rPh>
    <rPh sb="13" eb="16">
      <t>タマコ</t>
    </rPh>
    <phoneticPr fontId="2"/>
  </si>
  <si>
    <t>多摩湖</t>
    <phoneticPr fontId="2"/>
  </si>
  <si>
    <t>神奈川、東京</t>
    <rPh sb="0" eb="3">
      <t>カナガワ</t>
    </rPh>
    <rPh sb="4" eb="6">
      <t>トウキョウ</t>
    </rPh>
    <phoneticPr fontId="2"/>
  </si>
  <si>
    <t>千葉、埼玉、東京</t>
    <rPh sb="3" eb="5">
      <t>サイタマ</t>
    </rPh>
    <rPh sb="6" eb="8">
      <t>トウキョウ</t>
    </rPh>
    <phoneticPr fontId="2"/>
  </si>
  <si>
    <t>道の駅「ららん藤岡」、神流湖、乙父の紅葉、黒滝山不動寺、小林山達磨寺</t>
    <phoneticPr fontId="2"/>
  </si>
  <si>
    <t>神奈川、東京</t>
    <rPh sb="4" eb="6">
      <t>トウキョウ</t>
    </rPh>
    <phoneticPr fontId="2"/>
  </si>
  <si>
    <t>山梨、東京</t>
    <rPh sb="0" eb="2">
      <t>ヤマナシ</t>
    </rPh>
    <rPh sb="3" eb="5">
      <t>トウキョウ</t>
    </rPh>
    <phoneticPr fontId="2"/>
  </si>
  <si>
    <t>武蔵野吉祥七福神、調布飛行場、ふれあい下水道館</t>
    <phoneticPr fontId="2"/>
  </si>
  <si>
    <t>神奈川、東京</t>
    <phoneticPr fontId="2"/>
  </si>
  <si>
    <t>神奈川、東京</t>
    <rPh sb="0" eb="3">
      <t>カナガワ</t>
    </rPh>
    <phoneticPr fontId="2"/>
  </si>
  <si>
    <t>山梨、東京</t>
    <rPh sb="0" eb="2">
      <t>ヤマナシ</t>
    </rPh>
    <phoneticPr fontId="2"/>
  </si>
  <si>
    <t>埼玉、東京</t>
    <rPh sb="0" eb="2">
      <t>サイタマ</t>
    </rPh>
    <phoneticPr fontId="2"/>
  </si>
  <si>
    <t>千葉、埼玉、東京</t>
    <rPh sb="0" eb="2">
      <t>チバ</t>
    </rPh>
    <rPh sb="3" eb="5">
      <t>サイタマ</t>
    </rPh>
    <phoneticPr fontId="2"/>
  </si>
  <si>
    <t>山梨、長野、埼玉</t>
    <rPh sb="6" eb="8">
      <t>サイタマ</t>
    </rPh>
    <phoneticPr fontId="2"/>
  </si>
  <si>
    <t>千葉、埼玉、東京</t>
    <rPh sb="6" eb="8">
      <t>トウキョウ</t>
    </rPh>
    <phoneticPr fontId="2"/>
  </si>
  <si>
    <t>山梨、神奈川、東京</t>
    <rPh sb="3" eb="6">
      <t>カナガワ</t>
    </rPh>
    <rPh sb="7" eb="9">
      <t>トウキョウ</t>
    </rPh>
    <phoneticPr fontId="2"/>
  </si>
  <si>
    <t>長野、山梨、群馬、埼玉、東京</t>
    <rPh sb="6" eb="8">
      <t>グンマ</t>
    </rPh>
    <rPh sb="9" eb="11">
      <t>サイタマ</t>
    </rPh>
    <phoneticPr fontId="2"/>
  </si>
  <si>
    <t>滋賀、京都</t>
    <rPh sb="0" eb="2">
      <t>シガ</t>
    </rPh>
    <rPh sb="3" eb="5">
      <t>キョウト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</si>
</sst>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6">
    <font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b/>
      <sz val="11"/>
      <color rgb="FFFFFFFF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10"/>
      <name val="Carlito"/>
    </font>
    <font>
      <sz val="9"/>
      <color rgb="FF2563EB"/>
      <name val="ＭＳ ゴシック"/>
      <family val="3"/>
      <charset val="128"/>
    </font>
    <font>
      <sz val="11"/>
      <name val="Segoe UI Symbol"/>
      <family val="2"/>
    </font>
    <font>
      <sz val="9"/>
      <color theme="10"/>
      <name val="ＭＳ ゴシック"/>
      <family val="3"/>
      <charset val="128"/>
    </font>
    <font>
      <sz val="11"/>
      <color theme="8" tint="0.39997558519241921"/>
      <name val="Segoe UI Symbol"/>
      <family val="2"/>
    </font>
    <font>
      <sz val="11"/>
      <color rgb="FFFF0000"/>
      <name val="Segoe UI Symbol"/>
      <family val="2"/>
    </font>
    <font>
      <sz val="11"/>
      <color theme="8" tint="0.79985961485641044"/>
      <name val="Segoe UI Symbol"/>
      <family val="2"/>
    </font>
    <font>
      <sz val="11"/>
      <color rgb="FFFF9900"/>
      <name val="Segoe UI Symbol"/>
      <family val="2"/>
    </font>
    <font>
      <sz val="11"/>
      <color theme="8" tint="-0.249977111117893"/>
      <name val="Segoe UI Symbol"/>
      <family val="2"/>
    </font>
    <font>
      <sz val="11"/>
      <name val="ＭＳ Ｐゴシック"/>
      <family val="3"/>
      <charset val="128"/>
    </font>
    <font>
      <sz val="11"/>
      <color rgb="FF0070C0"/>
      <name val="ＭＳ ゴシック"/>
      <family val="3"/>
      <charset val="128"/>
    </font>
    <font>
      <sz val="11"/>
      <color rgb="FF8B4513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CCFF"/>
      <name val="Segoe UI Symbol"/>
      <family val="2"/>
    </font>
    <font>
      <sz val="11"/>
      <color theme="1"/>
      <name val="ＭＳ Ｐゴシック"/>
      <family val="3"/>
      <charset val="128"/>
    </font>
    <font>
      <sz val="11"/>
      <color theme="8" tint="-0.249977111117893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rgb="FF002060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5" tint="-0.49977111117893003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rgb="FF0070C0"/>
      <name val="Segoe UI Emoji"/>
      <family val="2"/>
    </font>
    <font>
      <sz val="11"/>
      <name val="ＭＳ ゴシック"/>
      <family val="3"/>
      <charset val="128"/>
    </font>
    <font>
      <sz val="11"/>
      <name val="游ゴシック"/>
      <family val="3"/>
      <charset val="128"/>
    </font>
    <font>
      <b/>
      <sz val="11"/>
      <color rgb="FFFFFFFF"/>
      <name val="Carlito"/>
    </font>
    <font>
      <sz val="11"/>
      <color rgb="FF000000"/>
      <name val="Carlito"/>
    </font>
    <font>
      <sz val="11"/>
      <name val="ＭＳ ゴシック"/>
      <family val="3"/>
      <charset val="128"/>
    </font>
    <font>
      <sz val="11"/>
      <color theme="8" tint="0.79985961485641044"/>
      <name val="Segoe UI Symbol"/>
      <family val="2"/>
    </font>
    <font>
      <sz val="11"/>
      <name val="游ゴシック"/>
      <family val="3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11"/>
      <color rgb="FF0070C0"/>
      <name val="ＭＳ ゴシック"/>
      <family val="3"/>
    </font>
    <font>
      <sz val="11"/>
      <color rgb="FF0070C0"/>
      <name val="ＭＳ Ｐゴシック"/>
      <family val="2"/>
    </font>
    <font>
      <sz val="9"/>
      <color rgb="FF2563EB"/>
      <name val="ＭＳ ゴシック"/>
      <family val="3"/>
    </font>
    <font>
      <sz val="11"/>
      <color rgb="FF000000"/>
      <name val="ＭＳ Ｐゴシック"/>
      <family val="3"/>
      <charset val="128"/>
    </font>
    <font>
      <sz val="11"/>
      <color rgb="FF000000"/>
      <name val="Carlito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75985"/>
      </patternFill>
    </fill>
    <fill>
      <patternFill patternType="solid">
        <fgColor rgb="FF075985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 style="medium">
        <color rgb="FF075985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indexed="64"/>
      </bottom>
      <diagonal/>
    </border>
    <border>
      <left style="thin">
        <color rgb="FF0284C7"/>
      </left>
      <right style="thin">
        <color rgb="FF0284C7"/>
      </right>
      <top style="thin">
        <color rgb="FF0284C7"/>
      </top>
      <bottom style="thin">
        <color rgb="FF0284C7"/>
      </bottom>
      <diagonal/>
    </border>
    <border>
      <left style="thin">
        <color rgb="FF0EA5E9"/>
      </left>
      <right style="thin">
        <color rgb="FF0EA5E9"/>
      </right>
      <top style="thin">
        <color rgb="FF0EA5E9"/>
      </top>
      <bottom style="thin">
        <color rgb="FF0EA5E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15">
    <xf numFmtId="0" fontId="0" fillId="0" borderId="0" xfId="0"/>
    <xf numFmtId="0" fontId="4" fillId="0" borderId="0" xfId="0" applyFont="1" applyAlignment="1">
      <alignment vertical="top"/>
    </xf>
    <xf numFmtId="0" fontId="3" fillId="2" borderId="1" xfId="1" applyFont="1" applyFill="1" applyBorder="1" applyAlignment="1">
      <alignment horizontal="center" vertical="top" wrapText="1"/>
    </xf>
    <xf numFmtId="176" fontId="4" fillId="0" borderId="2" xfId="0" applyNumberFormat="1" applyFont="1" applyBorder="1" applyAlignment="1">
      <alignment horizontal="right" vertical="top"/>
    </xf>
    <xf numFmtId="3" fontId="4" fillId="0" borderId="2" xfId="0" applyNumberFormat="1" applyFont="1" applyBorder="1" applyAlignment="1">
      <alignment horizontal="right" vertical="top"/>
    </xf>
    <xf numFmtId="176" fontId="4" fillId="0" borderId="3" xfId="0" applyNumberFormat="1" applyFont="1" applyBorder="1" applyAlignment="1">
      <alignment horizontal="right" vertical="top"/>
    </xf>
    <xf numFmtId="0" fontId="4" fillId="0" borderId="3" xfId="1" applyFont="1" applyBorder="1" applyAlignment="1">
      <alignment horizontal="center" vertical="top"/>
    </xf>
    <xf numFmtId="0" fontId="4" fillId="0" borderId="3" xfId="1" applyFont="1" applyBorder="1" applyAlignment="1">
      <alignment vertical="top" wrapText="1"/>
    </xf>
    <xf numFmtId="3" fontId="4" fillId="0" borderId="3" xfId="0" applyNumberFormat="1" applyFont="1" applyBorder="1" applyAlignment="1">
      <alignment horizontal="right" vertical="top"/>
    </xf>
    <xf numFmtId="0" fontId="4" fillId="0" borderId="3" xfId="0" applyFont="1" applyBorder="1" applyAlignment="1">
      <alignment vertical="top"/>
    </xf>
    <xf numFmtId="0" fontId="7" fillId="0" borderId="3" xfId="1" applyFont="1" applyBorder="1" applyAlignment="1">
      <alignment vertical="top" wrapText="1"/>
    </xf>
    <xf numFmtId="20" fontId="4" fillId="0" borderId="3" xfId="1" applyNumberFormat="1" applyFont="1" applyBorder="1" applyAlignment="1">
      <alignment horizontal="right" vertical="top"/>
    </xf>
    <xf numFmtId="0" fontId="9" fillId="0" borderId="3" xfId="1" applyFont="1" applyBorder="1" applyAlignment="1">
      <alignment vertical="top" wrapText="1"/>
    </xf>
    <xf numFmtId="0" fontId="10" fillId="0" borderId="3" xfId="1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12" fillId="0" borderId="3" xfId="1" applyFont="1" applyBorder="1" applyAlignment="1">
      <alignment vertical="top" wrapText="1"/>
    </xf>
    <xf numFmtId="0" fontId="14" fillId="0" borderId="3" xfId="1" applyFont="1" applyBorder="1" applyAlignment="1">
      <alignment vertical="top" wrapText="1"/>
    </xf>
    <xf numFmtId="0" fontId="15" fillId="0" borderId="2" xfId="0" applyFont="1" applyBorder="1" applyAlignment="1">
      <alignment horizontal="center" vertical="top"/>
    </xf>
    <xf numFmtId="0" fontId="15" fillId="0" borderId="3" xfId="0" applyFont="1" applyBorder="1" applyAlignment="1">
      <alignment horizontal="center" vertical="top"/>
    </xf>
    <xf numFmtId="0" fontId="16" fillId="0" borderId="3" xfId="0" applyFont="1" applyBorder="1" applyAlignment="1">
      <alignment horizontal="center" vertical="top"/>
    </xf>
    <xf numFmtId="0" fontId="17" fillId="0" borderId="3" xfId="0" applyFont="1" applyBorder="1" applyAlignment="1">
      <alignment horizontal="center" vertical="top"/>
    </xf>
    <xf numFmtId="0" fontId="18" fillId="0" borderId="3" xfId="1" applyFont="1" applyBorder="1" applyAlignment="1">
      <alignment vertical="top" wrapText="1"/>
    </xf>
    <xf numFmtId="0" fontId="19" fillId="0" borderId="3" xfId="1" applyFont="1" applyBorder="1" applyAlignment="1">
      <alignment vertical="top" wrapText="1"/>
    </xf>
    <xf numFmtId="0" fontId="21" fillId="0" borderId="3" xfId="1" applyFont="1" applyBorder="1" applyAlignment="1">
      <alignment vertical="top" wrapText="1"/>
    </xf>
    <xf numFmtId="0" fontId="11" fillId="0" borderId="3" xfId="0" applyFont="1" applyBorder="1" applyAlignment="1">
      <alignment vertical="top"/>
    </xf>
    <xf numFmtId="0" fontId="13" fillId="0" borderId="3" xfId="0" applyFont="1" applyBorder="1" applyAlignment="1">
      <alignment vertical="top"/>
    </xf>
    <xf numFmtId="0" fontId="4" fillId="0" borderId="3" xfId="0" applyFont="1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176" fontId="4" fillId="0" borderId="4" xfId="0" applyNumberFormat="1" applyFont="1" applyBorder="1" applyAlignment="1">
      <alignment horizontal="right" vertical="top"/>
    </xf>
    <xf numFmtId="0" fontId="15" fillId="0" borderId="4" xfId="0" applyFont="1" applyBorder="1" applyAlignment="1">
      <alignment horizontal="center" vertical="top"/>
    </xf>
    <xf numFmtId="3" fontId="4" fillId="0" borderId="4" xfId="0" applyNumberFormat="1" applyFont="1" applyBorder="1" applyAlignment="1">
      <alignment horizontal="right" vertical="top"/>
    </xf>
    <xf numFmtId="0" fontId="22" fillId="0" borderId="3" xfId="1" applyFont="1" applyBorder="1" applyAlignment="1">
      <alignment vertical="top" wrapText="1"/>
    </xf>
    <xf numFmtId="0" fontId="23" fillId="0" borderId="3" xfId="0" applyFont="1" applyBorder="1" applyAlignment="1">
      <alignment vertical="top"/>
    </xf>
    <xf numFmtId="0" fontId="23" fillId="0" borderId="3" xfId="1" applyFont="1" applyBorder="1" applyAlignment="1">
      <alignment vertical="top" wrapText="1"/>
    </xf>
    <xf numFmtId="0" fontId="20" fillId="0" borderId="3" xfId="1" applyFont="1" applyBorder="1" applyAlignment="1">
      <alignment vertical="top" wrapText="1"/>
    </xf>
    <xf numFmtId="0" fontId="21" fillId="0" borderId="3" xfId="0" applyFont="1" applyBorder="1" applyAlignment="1">
      <alignment vertical="top"/>
    </xf>
    <xf numFmtId="0" fontId="20" fillId="0" borderId="3" xfId="0" applyFont="1" applyBorder="1" applyAlignment="1">
      <alignment vertical="top"/>
    </xf>
    <xf numFmtId="0" fontId="24" fillId="0" borderId="3" xfId="0" applyFont="1" applyBorder="1" applyAlignment="1">
      <alignment vertical="top"/>
    </xf>
    <xf numFmtId="0" fontId="4" fillId="0" borderId="2" xfId="1" applyFont="1" applyBorder="1" applyAlignment="1">
      <alignment horizontal="center" vertical="top" wrapText="1"/>
    </xf>
    <xf numFmtId="0" fontId="4" fillId="0" borderId="3" xfId="1" applyFont="1" applyBorder="1" applyAlignment="1">
      <alignment horizontal="center" vertical="top" wrapText="1"/>
    </xf>
    <xf numFmtId="0" fontId="7" fillId="0" borderId="3" xfId="1" applyFont="1" applyBorder="1" applyAlignment="1">
      <alignment vertical="top"/>
    </xf>
    <xf numFmtId="3" fontId="18" fillId="0" borderId="3" xfId="0" applyNumberFormat="1" applyFont="1" applyBorder="1" applyAlignment="1">
      <alignment horizontal="right" vertical="top"/>
    </xf>
    <xf numFmtId="0" fontId="4" fillId="0" borderId="2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3" fontId="4" fillId="0" borderId="3" xfId="0" applyNumberFormat="1" applyFont="1" applyBorder="1" applyAlignment="1">
      <alignment horizontal="right" vertical="top" wrapText="1"/>
    </xf>
    <xf numFmtId="20" fontId="18" fillId="0" borderId="3" xfId="1" applyNumberFormat="1" applyFont="1" applyBorder="1" applyAlignment="1">
      <alignment horizontal="right" vertical="top"/>
    </xf>
    <xf numFmtId="0" fontId="4" fillId="0" borderId="3" xfId="0" applyFont="1" applyBorder="1" applyAlignment="1">
      <alignment vertical="top" wrapText="1"/>
    </xf>
    <xf numFmtId="0" fontId="4" fillId="0" borderId="3" xfId="1" applyFont="1" applyBorder="1" applyAlignment="1">
      <alignment horizontal="left" vertical="top"/>
    </xf>
    <xf numFmtId="0" fontId="15" fillId="0" borderId="3" xfId="1" applyFont="1" applyBorder="1" applyAlignment="1">
      <alignment horizontal="center" vertical="top"/>
    </xf>
    <xf numFmtId="0" fontId="19" fillId="0" borderId="3" xfId="1" applyFont="1" applyBorder="1" applyAlignment="1">
      <alignment vertical="top"/>
    </xf>
    <xf numFmtId="0" fontId="25" fillId="0" borderId="3" xfId="1" applyFont="1" applyBorder="1" applyAlignment="1">
      <alignment vertical="top" wrapText="1"/>
    </xf>
    <xf numFmtId="0" fontId="21" fillId="0" borderId="3" xfId="1" applyFont="1" applyBorder="1" applyAlignment="1">
      <alignment vertical="top"/>
    </xf>
    <xf numFmtId="0" fontId="26" fillId="0" borderId="3" xfId="1" applyFont="1" applyBorder="1" applyAlignment="1">
      <alignment horizontal="center" vertical="top"/>
    </xf>
    <xf numFmtId="20" fontId="4" fillId="0" borderId="3" xfId="0" applyNumberFormat="1" applyFont="1" applyBorder="1" applyAlignment="1">
      <alignment horizontal="right" vertical="top"/>
    </xf>
    <xf numFmtId="20" fontId="4" fillId="0" borderId="3" xfId="1" applyNumberFormat="1" applyFont="1" applyBorder="1" applyAlignment="1">
      <alignment horizontal="right" vertical="top" wrapText="1"/>
    </xf>
    <xf numFmtId="0" fontId="25" fillId="0" borderId="3" xfId="0" applyFont="1" applyBorder="1" applyAlignment="1">
      <alignment horizontal="center" vertical="top"/>
    </xf>
    <xf numFmtId="0" fontId="28" fillId="0" borderId="3" xfId="1" applyFont="1" applyBorder="1" applyAlignment="1">
      <alignment horizontal="center" vertical="top"/>
    </xf>
    <xf numFmtId="0" fontId="27" fillId="0" borderId="3" xfId="1" applyFont="1" applyBorder="1" applyAlignment="1">
      <alignment vertical="top" wrapText="1"/>
    </xf>
    <xf numFmtId="3" fontId="27" fillId="0" borderId="3" xfId="0" applyNumberFormat="1" applyFont="1" applyBorder="1" applyAlignment="1">
      <alignment horizontal="right" vertical="top"/>
    </xf>
    <xf numFmtId="20" fontId="27" fillId="0" borderId="3" xfId="0" applyNumberFormat="1" applyFont="1" applyBorder="1" applyAlignment="1">
      <alignment horizontal="right" vertical="top"/>
    </xf>
    <xf numFmtId="0" fontId="29" fillId="0" borderId="3" xfId="1" applyFont="1" applyBorder="1" applyAlignment="1">
      <alignment vertical="top" wrapText="1"/>
    </xf>
    <xf numFmtId="0" fontId="30" fillId="0" borderId="3" xfId="0" applyFont="1" applyBorder="1" applyAlignment="1">
      <alignment horizontal="center" vertical="top"/>
    </xf>
    <xf numFmtId="176" fontId="4" fillId="0" borderId="5" xfId="0" applyNumberFormat="1" applyFont="1" applyBorder="1" applyAlignment="1">
      <alignment horizontal="right" vertical="top"/>
    </xf>
    <xf numFmtId="3" fontId="4" fillId="0" borderId="3" xfId="0" applyNumberFormat="1" applyFont="1" applyBorder="1" applyAlignment="1">
      <alignment vertical="top"/>
    </xf>
    <xf numFmtId="0" fontId="3" fillId="2" borderId="1" xfId="1" applyFont="1" applyFill="1" applyBorder="1" applyAlignment="1">
      <alignment horizontal="centerContinuous" vertical="top" wrapText="1"/>
    </xf>
    <xf numFmtId="0" fontId="6" fillId="0" borderId="3" xfId="0" applyFont="1" applyBorder="1" applyAlignment="1">
      <alignment horizontal="centerContinuous" vertical="top"/>
    </xf>
    <xf numFmtId="0" fontId="8" fillId="0" borderId="0" xfId="2" applyFont="1" applyAlignment="1">
      <alignment horizontal="centerContinuous" vertical="top"/>
    </xf>
    <xf numFmtId="0" fontId="8" fillId="0" borderId="3" xfId="2" applyFont="1" applyBorder="1" applyAlignment="1">
      <alignment horizontal="centerContinuous" vertical="top"/>
    </xf>
    <xf numFmtId="0" fontId="6" fillId="0" borderId="3" xfId="1" applyFont="1" applyBorder="1" applyAlignment="1">
      <alignment horizontal="centerContinuous" vertical="top"/>
    </xf>
    <xf numFmtId="0" fontId="31" fillId="0" borderId="3" xfId="1" applyFont="1" applyBorder="1" applyAlignment="1">
      <alignment vertical="top" wrapText="1"/>
    </xf>
    <xf numFmtId="0" fontId="32" fillId="0" borderId="3" xfId="1" applyFont="1" applyBorder="1" applyAlignment="1">
      <alignment vertical="top" wrapText="1"/>
    </xf>
    <xf numFmtId="0" fontId="4" fillId="0" borderId="0" xfId="0" applyFont="1" applyAlignment="1">
      <alignment horizontal="left" vertical="top"/>
    </xf>
    <xf numFmtId="0" fontId="34" fillId="4" borderId="7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center" vertical="top"/>
    </xf>
    <xf numFmtId="0" fontId="36" fillId="0" borderId="3" xfId="0" applyFont="1" applyBorder="1" applyAlignment="1">
      <alignment vertical="top"/>
    </xf>
    <xf numFmtId="0" fontId="33" fillId="3" borderId="6" xfId="0" applyFont="1" applyFill="1" applyBorder="1" applyAlignment="1">
      <alignment horizontal="center" vertical="top" wrapText="1"/>
    </xf>
    <xf numFmtId="0" fontId="35" fillId="0" borderId="3" xfId="1" applyFont="1" applyBorder="1" applyAlignment="1">
      <alignment vertical="top" wrapText="1"/>
    </xf>
    <xf numFmtId="3" fontId="35" fillId="0" borderId="3" xfId="0" applyNumberFormat="1" applyFont="1" applyBorder="1" applyAlignment="1">
      <alignment horizontal="right" vertical="top"/>
    </xf>
    <xf numFmtId="20" fontId="35" fillId="0" borderId="3" xfId="1" applyNumberFormat="1" applyFont="1" applyBorder="1" applyAlignment="1">
      <alignment horizontal="right" vertical="top"/>
    </xf>
    <xf numFmtId="0" fontId="35" fillId="0" borderId="3" xfId="1" applyFont="1" applyBorder="1" applyAlignment="1">
      <alignment horizontal="left" vertical="top" wrapText="1"/>
    </xf>
    <xf numFmtId="0" fontId="37" fillId="0" borderId="3" xfId="1" applyFont="1" applyBorder="1" applyAlignment="1">
      <alignment vertical="top" wrapText="1"/>
    </xf>
    <xf numFmtId="0" fontId="39" fillId="0" borderId="3" xfId="1" applyFont="1" applyBorder="1" applyAlignment="1">
      <alignment vertical="top" wrapText="1"/>
    </xf>
    <xf numFmtId="0" fontId="38" fillId="0" borderId="3" xfId="1" applyFont="1" applyBorder="1" applyAlignment="1">
      <alignment vertical="top" wrapText="1"/>
    </xf>
    <xf numFmtId="0" fontId="0" fillId="0" borderId="0" xfId="0" applyAlignment="1">
      <alignment vertical="top"/>
    </xf>
    <xf numFmtId="0" fontId="8" fillId="0" borderId="8" xfId="2" applyFont="1" applyBorder="1" applyAlignment="1">
      <alignment horizontal="centerContinuous" vertical="top"/>
    </xf>
    <xf numFmtId="176" fontId="40" fillId="0" borderId="3" xfId="0" applyNumberFormat="1" applyFont="1" applyBorder="1" applyAlignment="1">
      <alignment horizontal="right" vertical="top"/>
    </xf>
    <xf numFmtId="0" fontId="41" fillId="0" borderId="3" xfId="0" applyFont="1" applyBorder="1" applyAlignment="1">
      <alignment horizontal="center" vertical="top"/>
    </xf>
    <xf numFmtId="0" fontId="42" fillId="0" borderId="3" xfId="0" applyFont="1" applyBorder="1" applyAlignment="1">
      <alignment vertical="top"/>
    </xf>
    <xf numFmtId="0" fontId="40" fillId="0" borderId="3" xfId="0" applyFont="1" applyBorder="1" applyAlignment="1">
      <alignment vertical="top"/>
    </xf>
    <xf numFmtId="0" fontId="43" fillId="0" borderId="3" xfId="0" applyFont="1" applyBorder="1" applyAlignment="1">
      <alignment horizontal="centerContinuous" vertical="top"/>
    </xf>
    <xf numFmtId="3" fontId="40" fillId="0" borderId="3" xfId="0" applyNumberFormat="1" applyFont="1" applyBorder="1" applyAlignment="1">
      <alignment horizontal="right" vertical="top"/>
    </xf>
    <xf numFmtId="20" fontId="40" fillId="0" borderId="3" xfId="0" applyNumberFormat="1" applyFont="1" applyBorder="1" applyAlignment="1">
      <alignment horizontal="right" vertical="top"/>
    </xf>
    <xf numFmtId="20" fontId="40" fillId="0" borderId="3" xfId="0" applyNumberFormat="1" applyFont="1" applyBorder="1" applyAlignment="1">
      <alignment horizontal="center" vertical="top"/>
    </xf>
    <xf numFmtId="0" fontId="40" fillId="0" borderId="3" xfId="0" applyFont="1" applyBorder="1" applyAlignment="1">
      <alignment horizontal="left" vertical="top"/>
    </xf>
    <xf numFmtId="0" fontId="17" fillId="4" borderId="7" xfId="0" applyFont="1" applyFill="1" applyBorder="1" applyAlignment="1">
      <alignment horizontal="left" vertical="top" wrapText="1"/>
    </xf>
    <xf numFmtId="0" fontId="44" fillId="4" borderId="7" xfId="0" applyFont="1" applyFill="1" applyBorder="1" applyAlignment="1">
      <alignment horizontal="left" vertical="top" wrapText="1"/>
    </xf>
    <xf numFmtId="0" fontId="45" fillId="4" borderId="7" xfId="0" applyFont="1" applyFill="1" applyBorder="1" applyAlignment="1">
      <alignment horizontal="left" vertical="top" wrapText="1"/>
    </xf>
    <xf numFmtId="0" fontId="23" fillId="0" borderId="4" xfId="1" applyFont="1" applyBorder="1" applyAlignment="1">
      <alignment vertical="top" wrapText="1"/>
    </xf>
    <xf numFmtId="0" fontId="4" fillId="0" borderId="2" xfId="0" applyFont="1" applyBorder="1" applyAlignment="1">
      <alignment vertical="top"/>
    </xf>
    <xf numFmtId="0" fontId="4" fillId="0" borderId="4" xfId="1" applyFont="1" applyBorder="1" applyAlignment="1">
      <alignment vertical="top" wrapText="1"/>
    </xf>
    <xf numFmtId="0" fontId="6" fillId="0" borderId="2" xfId="0" applyFont="1" applyBorder="1" applyAlignment="1">
      <alignment horizontal="centerContinuous" vertical="top"/>
    </xf>
    <xf numFmtId="0" fontId="6" fillId="0" borderId="4" xfId="1" applyFont="1" applyBorder="1" applyAlignment="1">
      <alignment horizontal="centerContinuous" vertical="top"/>
    </xf>
    <xf numFmtId="0" fontId="6" fillId="0" borderId="0" xfId="0" applyFont="1" applyBorder="1" applyAlignment="1">
      <alignment horizontal="centerContinuous" vertical="top"/>
    </xf>
    <xf numFmtId="0" fontId="5" fillId="0" borderId="0" xfId="2" applyBorder="1" applyAlignment="1">
      <alignment horizontal="centerContinuous" vertical="top"/>
    </xf>
    <xf numFmtId="0" fontId="6" fillId="0" borderId="0" xfId="1" applyFont="1" applyBorder="1" applyAlignment="1">
      <alignment horizontal="centerContinuous" vertical="top"/>
    </xf>
    <xf numFmtId="0" fontId="8" fillId="0" borderId="0" xfId="2" applyFont="1" applyBorder="1" applyAlignment="1">
      <alignment horizontal="centerContinuous" vertical="top"/>
    </xf>
    <xf numFmtId="0" fontId="12" fillId="0" borderId="4" xfId="1" applyFont="1" applyBorder="1" applyAlignment="1">
      <alignment vertical="top" wrapText="1"/>
    </xf>
    <xf numFmtId="20" fontId="4" fillId="0" borderId="2" xfId="0" applyNumberFormat="1" applyFont="1" applyBorder="1" applyAlignment="1">
      <alignment horizontal="right" vertical="top"/>
    </xf>
    <xf numFmtId="20" fontId="4" fillId="0" borderId="4" xfId="1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/>
    </xf>
    <xf numFmtId="0" fontId="4" fillId="0" borderId="4" xfId="1" applyFont="1" applyBorder="1" applyAlignment="1">
      <alignment horizontal="center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2" xfId="1" applyFont="1" applyBorder="1" applyAlignment="1">
      <alignment horizontal="left" vertical="top"/>
    </xf>
  </cellXfs>
  <cellStyles count="3">
    <cellStyle name="Normal" xfId="1" xr:uid="{00000000-0005-0000-0000-000001000000}"/>
    <cellStyle name="ハイパーリンク" xfId="2" xr:uid="{00000000-0005-0000-0000-000002000000}"/>
    <cellStyle name="標準" xfId="0" builtinId="0"/>
  </cellStyles>
  <dxfs count="16">
    <dxf>
      <fill>
        <patternFill>
          <bgColor rgb="FFBFE3F2"/>
        </patternFill>
      </fill>
    </dxf>
    <dxf>
      <font>
        <sz val="11"/>
        <color auto="1"/>
        <name val="ＭＳ ゴシック"/>
        <family val="3"/>
      </font>
      <border>
        <left style="thin">
          <color rgb="FF0070C0"/>
        </left>
        <right style="thin">
          <color rgb="FF0070C0"/>
        </right>
        <top/>
        <bottom/>
      </border>
    </dxf>
    <dxf>
      <font>
        <sz val="11"/>
        <color auto="1"/>
        <name val="ＭＳ ゴシック"/>
        <family val="3"/>
      </font>
      <border>
        <left style="thin">
          <color rgb="FF0070C0"/>
        </left>
        <right style="thin">
          <color rgb="FF0070C0"/>
        </right>
        <top/>
        <bottom/>
      </border>
    </dxf>
    <dxf>
      <font>
        <sz val="11"/>
        <color auto="1"/>
        <name val="ＭＳ ゴシック"/>
        <family val="3"/>
      </font>
      <numFmt numFmtId="25" formatCode="h:mm"/>
      <border>
        <left style="thin">
          <color rgb="FF0070C0"/>
        </left>
        <right style="thin">
          <color rgb="FF0070C0"/>
        </right>
        <top/>
        <bottom/>
      </border>
    </dxf>
    <dxf>
      <font>
        <name val="ＭＳ ゴシック"/>
        <family val="3"/>
      </font>
      <numFmt numFmtId="25" formatCode="h:mm"/>
      <border>
        <left style="thin">
          <color rgb="FF0070C0"/>
        </left>
        <right style="thin">
          <color rgb="FF0070C0"/>
        </right>
        <top/>
        <bottom/>
      </border>
    </dxf>
    <dxf>
      <font>
        <name val="ＭＳ ゴシック"/>
        <family val="3"/>
      </font>
      <border>
        <left style="thin">
          <color rgb="FF0070C0"/>
        </left>
        <right style="thin">
          <color rgb="FF0070C0"/>
        </right>
        <top/>
        <bottom/>
      </border>
    </dxf>
    <dxf>
      <font>
        <name val="ＭＳ ゴシック"/>
        <family val="3"/>
      </font>
      <numFmt numFmtId="3" formatCode="#,##0"/>
      <border>
        <left style="thin">
          <color rgb="FF0070C0"/>
        </left>
        <right style="thin">
          <color rgb="FF0070C0"/>
        </right>
        <top/>
        <bottom/>
      </border>
    </dxf>
    <dxf>
      <font>
        <sz val="11"/>
        <color auto="1"/>
        <name val="Segoe UI Symbol"/>
        <family val="2"/>
      </font>
      <border>
        <left style="thin">
          <color rgb="FF0070C0"/>
        </left>
        <right style="thin">
          <color rgb="FF0070C0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ＭＳ ゴシック"/>
        <family val="3"/>
        <charset val="128"/>
      </font>
      <fill>
        <patternFill patternType="solid">
          <fgColor indexed="64"/>
          <bgColor rgb="FFFFFFFF"/>
        </patternFill>
      </fill>
      <alignment horizontal="left" vertical="top" wrapText="1"/>
      <border>
        <left style="thin">
          <color rgb="FF0EA5E9"/>
        </left>
        <right style="thin">
          <color rgb="FF0EA5E9"/>
        </right>
        <top style="thin">
          <color rgb="FF0EA5E9"/>
        </top>
        <bottom style="thin">
          <color rgb="FF0EA5E9"/>
        </bottom>
        <vertical/>
        <horizontal/>
      </border>
    </dxf>
    <dxf>
      <font>
        <sz val="11"/>
        <color auto="1"/>
        <name val="ＭＳ ゴシック"/>
        <family val="3"/>
      </font>
      <border>
        <left style="thin">
          <color rgb="FF0070C0"/>
        </left>
        <right style="thin">
          <color rgb="FF0070C0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9"/>
        <color theme="10"/>
        <name val="ＭＳ ゴシック"/>
        <family val="3"/>
        <charset val="128"/>
      </font>
      <alignment horizontal="centerContinuous" vertical="top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z val="9"/>
        <color rgb="FF2563EB"/>
        <name val="ＭＳ ゴシック"/>
        <family val="3"/>
      </font>
      <border>
        <left style="thin">
          <color rgb="FF0070C0"/>
        </left>
        <right style="thin">
          <color rgb="FF0070C0"/>
        </right>
        <top/>
        <bottom/>
      </border>
    </dxf>
    <dxf>
      <font>
        <name val="ＭＳ ゴシック"/>
        <family val="3"/>
      </font>
      <border>
        <left style="thin">
          <color rgb="FF0070C0"/>
        </left>
        <right style="thin">
          <color rgb="FF0070C0"/>
        </right>
        <top/>
        <bottom/>
      </border>
    </dxf>
    <dxf>
      <font>
        <sz val="11"/>
        <color rgb="FF0070C0"/>
        <name val="ＭＳ Ｐゴシック"/>
        <family val="2"/>
      </font>
      <border>
        <left style="thin">
          <color rgb="FF0070C0"/>
        </left>
        <right style="thin">
          <color rgb="FF0070C0"/>
        </right>
        <top/>
        <bottom/>
      </border>
    </dxf>
    <dxf>
      <font>
        <sz val="11"/>
        <name val="ＭＳ ゴシック"/>
        <family val="3"/>
      </font>
      <border>
        <left style="thin">
          <color rgb="FF0070C0"/>
        </left>
        <right style="thin">
          <color rgb="FF0070C0"/>
        </right>
        <top/>
        <bottom/>
      </border>
    </dxf>
    <dxf>
      <font>
        <name val="ＭＳ ゴシック"/>
        <family val="3"/>
      </font>
      <border>
        <left style="thin">
          <color rgb="FF0070C0"/>
        </left>
        <right style="thin">
          <color rgb="FF0070C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yclingRecordsTable" displayName="CyclingRecordsTable" ref="A1:O1048576" totalsRowShown="0">
  <autoFilter ref="A1:O1048576" xr:uid="{00000000-0009-0000-0100-000001000000}"/>
  <sortState xmlns:xlrd2="http://schemas.microsoft.com/office/spreadsheetml/2017/richdata2" ref="A2:O1220">
    <sortCondition descending="1" ref="A1:A1048576"/>
  </sortState>
  <tableColumns count="15">
    <tableColumn id="2" xr3:uid="{00000000-0010-0000-0000-000002000000}" name="日付" dataDxfId="15"/>
    <tableColumn id="4" xr3:uid="{00000000-0010-0000-0000-000004000000}" name="活動区分" dataDxfId="14"/>
    <tableColumn id="17" xr3:uid="{00000000-0010-0000-0000-000011000000}" name="ｱｸﾃｨﾋﾞﾃｨ" dataDxfId="13"/>
    <tableColumn id="5" xr3:uid="{00000000-0010-0000-0000-000005000000}" name="タイトル" dataDxfId="12"/>
    <tableColumn id="6" xr3:uid="{00000000-0010-0000-0000-000006000000}" name="記録_x000a_リンク" dataDxfId="11"/>
    <tableColumn id="1" xr3:uid="{00000000-0010-0000-0000-000001000000}" name="GPSログ" dataDxfId="10" dataCellStyle="ハイパーリンク"/>
    <tableColumn id="14" xr3:uid="{00000000-0010-0000-0000-00000E000000}" name="主な訪問地" dataDxfId="9"/>
    <tableColumn id="3" xr3:uid="{00000000-0010-0000-0000-000003000000}" name="都道府県" dataDxfId="8"/>
    <tableColumn id="16" xr3:uid="{00000000-0010-0000-0000-000010000000}" name="補足" dataDxfId="7"/>
    <tableColumn id="8" xr3:uid="{00000000-0010-0000-0000-000008000000}" name="距離_x000a_[km]" dataDxfId="6"/>
    <tableColumn id="9" xr3:uid="{00000000-0010-0000-0000-000009000000}" name="獲得標高 [m]" dataDxfId="5"/>
    <tableColumn id="11" xr3:uid="{00000000-0010-0000-0000-00000B000000}" name="走行・歩行_x000a_時間" dataDxfId="4"/>
    <tableColumn id="7" xr3:uid="{00000000-0010-0000-0000-000007000000}" name="車種" dataDxfId="3"/>
    <tableColumn id="12" xr3:uid="{00000000-0010-0000-0000-00000C000000}" name="メーカー" dataDxfId="2"/>
    <tableColumn id="13" xr3:uid="{00000000-0010-0000-0000-00000D000000}" name="モデル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nnect.garmin.com/app/activity/24060923667" TargetMode="External"/><Relationship Id="rId671" Type="http://schemas.openxmlformats.org/officeDocument/2006/relationships/hyperlink" Target="https://yamap.com/activities/16616932" TargetMode="External"/><Relationship Id="rId769" Type="http://schemas.openxmlformats.org/officeDocument/2006/relationships/hyperlink" Target="https://yamap.com/activities/25596583" TargetMode="External"/><Relationship Id="rId976" Type="http://schemas.openxmlformats.org/officeDocument/2006/relationships/hyperlink" Target="https://yamap.com/activities/48077876" TargetMode="External"/><Relationship Id="rId21" Type="http://schemas.openxmlformats.org/officeDocument/2006/relationships/hyperlink" Target="https://connect.garmin.com/app/activity/24108764767" TargetMode="External"/><Relationship Id="rId324" Type="http://schemas.openxmlformats.org/officeDocument/2006/relationships/hyperlink" Target="https://connect.garmin.com/app/activity/888065693" TargetMode="External"/><Relationship Id="rId531" Type="http://schemas.openxmlformats.org/officeDocument/2006/relationships/hyperlink" Target="https://connect.garmin.com/app/activity/3241420327" TargetMode="External"/><Relationship Id="rId629" Type="http://schemas.openxmlformats.org/officeDocument/2006/relationships/hyperlink" Target="https://yamap.com/activities/14391145" TargetMode="External"/><Relationship Id="rId170" Type="http://schemas.openxmlformats.org/officeDocument/2006/relationships/hyperlink" Target="https://connect.garmin.com/app/activity/24084014360" TargetMode="External"/><Relationship Id="rId836" Type="http://schemas.openxmlformats.org/officeDocument/2006/relationships/hyperlink" Target="https://yamap.com/activities/34241567" TargetMode="External"/><Relationship Id="rId268" Type="http://schemas.openxmlformats.org/officeDocument/2006/relationships/hyperlink" Target="https://connect.garmin.com/app/activity/888062453" TargetMode="External"/><Relationship Id="rId475" Type="http://schemas.openxmlformats.org/officeDocument/2006/relationships/hyperlink" Target="https://connect.garmin.com/app/activity/2393781159" TargetMode="External"/><Relationship Id="rId682" Type="http://schemas.openxmlformats.org/officeDocument/2006/relationships/hyperlink" Target="https://yamap.com/activities/17157407" TargetMode="External"/><Relationship Id="rId903" Type="http://schemas.openxmlformats.org/officeDocument/2006/relationships/hyperlink" Target="https://yamap.com/activities/41467409" TargetMode="External"/><Relationship Id="rId32" Type="http://schemas.openxmlformats.org/officeDocument/2006/relationships/hyperlink" Target="https://connect.garmin.com/app/activity/24049591068" TargetMode="External"/><Relationship Id="rId128" Type="http://schemas.openxmlformats.org/officeDocument/2006/relationships/hyperlink" Target="https://connect.garmin.com/app/activity/24079000047" TargetMode="External"/><Relationship Id="rId335" Type="http://schemas.openxmlformats.org/officeDocument/2006/relationships/hyperlink" Target="https://connect.garmin.com/app/activity/888066403" TargetMode="External"/><Relationship Id="rId542" Type="http://schemas.openxmlformats.org/officeDocument/2006/relationships/hyperlink" Target="https://connect.garmin.com/app/activity/3512118978" TargetMode="External"/><Relationship Id="rId987" Type="http://schemas.openxmlformats.org/officeDocument/2006/relationships/hyperlink" Target="https://yamap.com/activities/49543927" TargetMode="External"/><Relationship Id="rId181" Type="http://schemas.openxmlformats.org/officeDocument/2006/relationships/hyperlink" Target="https://connect.garmin.com/app/activity/24084677884" TargetMode="External"/><Relationship Id="rId402" Type="http://schemas.openxmlformats.org/officeDocument/2006/relationships/hyperlink" Target="https://connect.garmin.com/app/activity/1281562504" TargetMode="External"/><Relationship Id="rId847" Type="http://schemas.openxmlformats.org/officeDocument/2006/relationships/hyperlink" Target="https://yamap.com/activities/36973417" TargetMode="External"/><Relationship Id="rId279" Type="http://schemas.openxmlformats.org/officeDocument/2006/relationships/hyperlink" Target="https://connect.garmin.com/app/activity/888063097" TargetMode="External"/><Relationship Id="rId486" Type="http://schemas.openxmlformats.org/officeDocument/2006/relationships/hyperlink" Target="https://connect.garmin.com/app/activity/2546750766" TargetMode="External"/><Relationship Id="rId693" Type="http://schemas.openxmlformats.org/officeDocument/2006/relationships/hyperlink" Target="https://yamap.com/activities/18242925" TargetMode="External"/><Relationship Id="rId707" Type="http://schemas.openxmlformats.org/officeDocument/2006/relationships/hyperlink" Target="https://yamap.com/activities/19284640" TargetMode="External"/><Relationship Id="rId914" Type="http://schemas.openxmlformats.org/officeDocument/2006/relationships/hyperlink" Target="https://yamap.com/activities/42921112" TargetMode="External"/><Relationship Id="rId43" Type="http://schemas.openxmlformats.org/officeDocument/2006/relationships/hyperlink" Target="https://connect.garmin.com/app/activity/24050257188" TargetMode="External"/><Relationship Id="rId139" Type="http://schemas.openxmlformats.org/officeDocument/2006/relationships/hyperlink" Target="https://connect.garmin.com/app/activity/24079283733" TargetMode="External"/><Relationship Id="rId346" Type="http://schemas.openxmlformats.org/officeDocument/2006/relationships/hyperlink" Target="https://connect.garmin.com/app/activity/888066914" TargetMode="External"/><Relationship Id="rId553" Type="http://schemas.openxmlformats.org/officeDocument/2006/relationships/hyperlink" Target="https://connect.garmin.com/app/activity/3662898354" TargetMode="External"/><Relationship Id="rId760" Type="http://schemas.openxmlformats.org/officeDocument/2006/relationships/hyperlink" Target="https://yamap.com/activities/24750143" TargetMode="External"/><Relationship Id="rId192" Type="http://schemas.openxmlformats.org/officeDocument/2006/relationships/hyperlink" Target="https://connect.garmin.com/app/activity/24085612230" TargetMode="External"/><Relationship Id="rId206" Type="http://schemas.openxmlformats.org/officeDocument/2006/relationships/hyperlink" Target="https://connect.garmin.com/app/activity/24086622187" TargetMode="External"/><Relationship Id="rId413" Type="http://schemas.openxmlformats.org/officeDocument/2006/relationships/hyperlink" Target="https://connect.garmin.com/app/activity/24106827300" TargetMode="External"/><Relationship Id="rId858" Type="http://schemas.openxmlformats.org/officeDocument/2006/relationships/hyperlink" Target="https://yamap.com/activities/38299381" TargetMode="External"/><Relationship Id="rId497" Type="http://schemas.openxmlformats.org/officeDocument/2006/relationships/hyperlink" Target="https://yamap.com/activities/39987321" TargetMode="External"/><Relationship Id="rId620" Type="http://schemas.openxmlformats.org/officeDocument/2006/relationships/hyperlink" Target="https://yamap.com/activities/13721316" TargetMode="External"/><Relationship Id="rId718" Type="http://schemas.openxmlformats.org/officeDocument/2006/relationships/hyperlink" Target="https://yamap.com/activities/20378137" TargetMode="External"/><Relationship Id="rId925" Type="http://schemas.openxmlformats.org/officeDocument/2006/relationships/hyperlink" Target="https://yamap.com/activities/43833784" TargetMode="External"/><Relationship Id="rId357" Type="http://schemas.openxmlformats.org/officeDocument/2006/relationships/hyperlink" Target="https://connect.garmin.com/app/activity/942905325" TargetMode="External"/><Relationship Id="rId54" Type="http://schemas.openxmlformats.org/officeDocument/2006/relationships/hyperlink" Target="https://connect.garmin.com/app/activity/24055835637" TargetMode="External"/><Relationship Id="rId217" Type="http://schemas.openxmlformats.org/officeDocument/2006/relationships/hyperlink" Target="https://connect.garmin.com/app/activity/432039693" TargetMode="External"/><Relationship Id="rId564" Type="http://schemas.openxmlformats.org/officeDocument/2006/relationships/hyperlink" Target="https://connect.garmin.com/app/activity/4171374295" TargetMode="External"/><Relationship Id="rId771" Type="http://schemas.openxmlformats.org/officeDocument/2006/relationships/hyperlink" Target="https://yamap.com/activities/25839161" TargetMode="External"/><Relationship Id="rId869" Type="http://schemas.openxmlformats.org/officeDocument/2006/relationships/hyperlink" Target="https://yamap.com/activities/38976369" TargetMode="External"/><Relationship Id="rId424" Type="http://schemas.openxmlformats.org/officeDocument/2006/relationships/hyperlink" Target="https://connect.garmin.com/app/activity/1507711386" TargetMode="External"/><Relationship Id="rId631" Type="http://schemas.openxmlformats.org/officeDocument/2006/relationships/hyperlink" Target="https://yamap.com/activities/14530351" TargetMode="External"/><Relationship Id="rId729" Type="http://schemas.openxmlformats.org/officeDocument/2006/relationships/hyperlink" Target="https://yamap.com/activities/21191893" TargetMode="External"/><Relationship Id="rId270" Type="http://schemas.openxmlformats.org/officeDocument/2006/relationships/hyperlink" Target="https://connect.garmin.com/app/activity/888062573" TargetMode="External"/><Relationship Id="rId936" Type="http://schemas.openxmlformats.org/officeDocument/2006/relationships/hyperlink" Target="https://yamap.com/activities/44272396" TargetMode="External"/><Relationship Id="rId65" Type="http://schemas.openxmlformats.org/officeDocument/2006/relationships/hyperlink" Target="https://connect.garmin.com/app/activity/17945873023" TargetMode="External"/><Relationship Id="rId130" Type="http://schemas.openxmlformats.org/officeDocument/2006/relationships/hyperlink" Target="https://connect.garmin.com/app/activity/24079038895" TargetMode="External"/><Relationship Id="rId368" Type="http://schemas.openxmlformats.org/officeDocument/2006/relationships/hyperlink" Target="https://connect.garmin.com/app/activity/1008296393" TargetMode="External"/><Relationship Id="rId575" Type="http://schemas.openxmlformats.org/officeDocument/2006/relationships/hyperlink" Target="https://connect.garmin.com/app/activity/4334538109" TargetMode="External"/><Relationship Id="rId782" Type="http://schemas.openxmlformats.org/officeDocument/2006/relationships/hyperlink" Target="https://yamap.com/activities/27749308" TargetMode="External"/><Relationship Id="rId228" Type="http://schemas.openxmlformats.org/officeDocument/2006/relationships/hyperlink" Target="https://connect.garmin.com/app/activity/432039765" TargetMode="External"/><Relationship Id="rId435" Type="http://schemas.openxmlformats.org/officeDocument/2006/relationships/hyperlink" Target="https://connect.garmin.com/app/activity/1703627986" TargetMode="External"/><Relationship Id="rId642" Type="http://schemas.openxmlformats.org/officeDocument/2006/relationships/hyperlink" Target="https://yamap.com/activities/15058264" TargetMode="External"/><Relationship Id="rId281" Type="http://schemas.openxmlformats.org/officeDocument/2006/relationships/hyperlink" Target="https://connect.garmin.com/app/activity/888063185" TargetMode="External"/><Relationship Id="rId502" Type="http://schemas.openxmlformats.org/officeDocument/2006/relationships/hyperlink" Target="https://connect.garmin.com/app/activity/2797252095" TargetMode="External"/><Relationship Id="rId947" Type="http://schemas.openxmlformats.org/officeDocument/2006/relationships/hyperlink" Target="https://yamap.com/activities/44928700" TargetMode="External"/><Relationship Id="rId76" Type="http://schemas.openxmlformats.org/officeDocument/2006/relationships/hyperlink" Target="https://connect.garmin.com/app/activity/24056285903" TargetMode="External"/><Relationship Id="rId141" Type="http://schemas.openxmlformats.org/officeDocument/2006/relationships/hyperlink" Target="https://connect.garmin.com/app/activity/24079334780" TargetMode="External"/><Relationship Id="rId379" Type="http://schemas.openxmlformats.org/officeDocument/2006/relationships/hyperlink" Target="https://connect.garmin.com/app/activity/1066283200" TargetMode="External"/><Relationship Id="rId586" Type="http://schemas.openxmlformats.org/officeDocument/2006/relationships/hyperlink" Target="https://yamap.com/activities/10174898" TargetMode="External"/><Relationship Id="rId793" Type="http://schemas.openxmlformats.org/officeDocument/2006/relationships/hyperlink" Target="https://yamap.com/activities/29611655" TargetMode="External"/><Relationship Id="rId807" Type="http://schemas.openxmlformats.org/officeDocument/2006/relationships/hyperlink" Target="https://yamap.com/activities/30782338" TargetMode="External"/><Relationship Id="rId7" Type="http://schemas.openxmlformats.org/officeDocument/2006/relationships/hyperlink" Target="https://connect.garmin.com/app/activity/24109561243" TargetMode="External"/><Relationship Id="rId239" Type="http://schemas.openxmlformats.org/officeDocument/2006/relationships/hyperlink" Target="https://connect.garmin.com/app/activity/432045160" TargetMode="External"/><Relationship Id="rId446" Type="http://schemas.openxmlformats.org/officeDocument/2006/relationships/hyperlink" Target="https://connect.garmin.com/app/activity/1787864330" TargetMode="External"/><Relationship Id="rId653" Type="http://schemas.openxmlformats.org/officeDocument/2006/relationships/hyperlink" Target="https://yamap.com/activities/15677402" TargetMode="External"/><Relationship Id="rId292" Type="http://schemas.openxmlformats.org/officeDocument/2006/relationships/hyperlink" Target="https://connect.garmin.com/app/activity/888063805" TargetMode="External"/><Relationship Id="rId306" Type="http://schemas.openxmlformats.org/officeDocument/2006/relationships/hyperlink" Target="https://connect.garmin.com/app/activity/888064618" TargetMode="External"/><Relationship Id="rId860" Type="http://schemas.openxmlformats.org/officeDocument/2006/relationships/hyperlink" Target="https://yamap.com/activities/38546405" TargetMode="External"/><Relationship Id="rId958" Type="http://schemas.openxmlformats.org/officeDocument/2006/relationships/hyperlink" Target="https://yamap.com/activities/46007669" TargetMode="External"/><Relationship Id="rId87" Type="http://schemas.openxmlformats.org/officeDocument/2006/relationships/hyperlink" Target="https://connect.garmin.com/app/activity/24056625692" TargetMode="External"/><Relationship Id="rId513" Type="http://schemas.openxmlformats.org/officeDocument/2006/relationships/hyperlink" Target="https://connect.garmin.com/app/activity/2981220763" TargetMode="External"/><Relationship Id="rId597" Type="http://schemas.openxmlformats.org/officeDocument/2006/relationships/hyperlink" Target="https://yamap.com/activities/10805050" TargetMode="External"/><Relationship Id="rId720" Type="http://schemas.openxmlformats.org/officeDocument/2006/relationships/hyperlink" Target="https://yamap.com/activities/20622031" TargetMode="External"/><Relationship Id="rId818" Type="http://schemas.openxmlformats.org/officeDocument/2006/relationships/hyperlink" Target="https://yamap.com/activities/31517202" TargetMode="External"/><Relationship Id="rId152" Type="http://schemas.openxmlformats.org/officeDocument/2006/relationships/hyperlink" Target="https://connect.garmin.com/app/activity/24079571868" TargetMode="External"/><Relationship Id="rId457" Type="http://schemas.openxmlformats.org/officeDocument/2006/relationships/hyperlink" Target="https://yamap.com/activities/40014108" TargetMode="External"/><Relationship Id="rId664" Type="http://schemas.openxmlformats.org/officeDocument/2006/relationships/hyperlink" Target="https://yamap.com/activities/16223668" TargetMode="External"/><Relationship Id="rId871" Type="http://schemas.openxmlformats.org/officeDocument/2006/relationships/hyperlink" Target="https://yamap.com/activities/38757422" TargetMode="External"/><Relationship Id="rId969" Type="http://schemas.openxmlformats.org/officeDocument/2006/relationships/hyperlink" Target="https://yamap.com/activities/47084692" TargetMode="External"/><Relationship Id="rId14" Type="http://schemas.openxmlformats.org/officeDocument/2006/relationships/hyperlink" Target="https://connect.garmin.com/app/activity/24048543526" TargetMode="External"/><Relationship Id="rId317" Type="http://schemas.openxmlformats.org/officeDocument/2006/relationships/hyperlink" Target="https://connect.garmin.com/app/activity/888065261" TargetMode="External"/><Relationship Id="rId524" Type="http://schemas.openxmlformats.org/officeDocument/2006/relationships/hyperlink" Target="https://connect.garmin.com/app/activity/3153913845" TargetMode="External"/><Relationship Id="rId731" Type="http://schemas.openxmlformats.org/officeDocument/2006/relationships/hyperlink" Target="https://yamap.com/activities/21537384" TargetMode="External"/><Relationship Id="rId98" Type="http://schemas.openxmlformats.org/officeDocument/2006/relationships/hyperlink" Target="https://connect.garmin.com/app/activity/24060185920" TargetMode="External"/><Relationship Id="rId163" Type="http://schemas.openxmlformats.org/officeDocument/2006/relationships/hyperlink" Target="https://connect.garmin.com/app/activity/24079771752" TargetMode="External"/><Relationship Id="rId370" Type="http://schemas.openxmlformats.org/officeDocument/2006/relationships/hyperlink" Target="https://connect.garmin.com/app/activity/1016150815" TargetMode="External"/><Relationship Id="rId829" Type="http://schemas.openxmlformats.org/officeDocument/2006/relationships/hyperlink" Target="https://yamap.com/activities/33219169" TargetMode="External"/><Relationship Id="rId230" Type="http://schemas.openxmlformats.org/officeDocument/2006/relationships/hyperlink" Target="https://connect.garmin.com/app/activity/432039677" TargetMode="External"/><Relationship Id="rId468" Type="http://schemas.openxmlformats.org/officeDocument/2006/relationships/hyperlink" Target="https://connect.garmin.com/app/activity/2339116130" TargetMode="External"/><Relationship Id="rId675" Type="http://schemas.openxmlformats.org/officeDocument/2006/relationships/hyperlink" Target="https://yamap.com/activities/16845214" TargetMode="External"/><Relationship Id="rId882" Type="http://schemas.openxmlformats.org/officeDocument/2006/relationships/hyperlink" Target="https://yamap.com/activities/39838304" TargetMode="External"/><Relationship Id="rId25" Type="http://schemas.openxmlformats.org/officeDocument/2006/relationships/hyperlink" Target="https://connect.garmin.com/app/activity/24049194115" TargetMode="External"/><Relationship Id="rId328" Type="http://schemas.openxmlformats.org/officeDocument/2006/relationships/hyperlink" Target="https://connect.garmin.com/app/activity/888065929" TargetMode="External"/><Relationship Id="rId535" Type="http://schemas.openxmlformats.org/officeDocument/2006/relationships/hyperlink" Target="https://connect.garmin.com/app/activity/3365797334" TargetMode="External"/><Relationship Id="rId742" Type="http://schemas.openxmlformats.org/officeDocument/2006/relationships/hyperlink" Target="https://yamap.com/activities/23060589" TargetMode="External"/><Relationship Id="rId174" Type="http://schemas.openxmlformats.org/officeDocument/2006/relationships/hyperlink" Target="https://connect.garmin.com/app/activity/24084144447" TargetMode="External"/><Relationship Id="rId381" Type="http://schemas.openxmlformats.org/officeDocument/2006/relationships/hyperlink" Target="https://connect.garmin.com/app/activity/1073135362" TargetMode="External"/><Relationship Id="rId602" Type="http://schemas.openxmlformats.org/officeDocument/2006/relationships/hyperlink" Target="https://yamap.com/activities/11803136" TargetMode="External"/><Relationship Id="rId241" Type="http://schemas.openxmlformats.org/officeDocument/2006/relationships/hyperlink" Target="https://connect.garmin.com/app/activity/432045119" TargetMode="External"/><Relationship Id="rId479" Type="http://schemas.openxmlformats.org/officeDocument/2006/relationships/hyperlink" Target="https://connect.garmin.com/app/activity/24092214042" TargetMode="External"/><Relationship Id="rId686" Type="http://schemas.openxmlformats.org/officeDocument/2006/relationships/hyperlink" Target="https://yamap.com/activities/17601677" TargetMode="External"/><Relationship Id="rId893" Type="http://schemas.openxmlformats.org/officeDocument/2006/relationships/hyperlink" Target="https://yamap.com/activities/40677738" TargetMode="External"/><Relationship Id="rId907" Type="http://schemas.openxmlformats.org/officeDocument/2006/relationships/hyperlink" Target="https://yamap.com/activities/41570727" TargetMode="External"/><Relationship Id="rId36" Type="http://schemas.openxmlformats.org/officeDocument/2006/relationships/hyperlink" Target="https://connect.garmin.com/app/activity/24049812444" TargetMode="External"/><Relationship Id="rId339" Type="http://schemas.openxmlformats.org/officeDocument/2006/relationships/hyperlink" Target="https://yamap.com/activities/37090538" TargetMode="External"/><Relationship Id="rId546" Type="http://schemas.openxmlformats.org/officeDocument/2006/relationships/hyperlink" Target="https://connect.garmin.com/app/activity/3575591085" TargetMode="External"/><Relationship Id="rId753" Type="http://schemas.openxmlformats.org/officeDocument/2006/relationships/hyperlink" Target="https://yamap.com/activities/24009130" TargetMode="External"/><Relationship Id="rId101" Type="http://schemas.openxmlformats.org/officeDocument/2006/relationships/hyperlink" Target="https://connect.garmin.com/app/activity/24060364799" TargetMode="External"/><Relationship Id="rId185" Type="http://schemas.openxmlformats.org/officeDocument/2006/relationships/hyperlink" Target="https://connect.garmin.com/app/activity/24085161005" TargetMode="External"/><Relationship Id="rId406" Type="http://schemas.openxmlformats.org/officeDocument/2006/relationships/hyperlink" Target="https://connect.garmin.com/app/activity/1334852542" TargetMode="External"/><Relationship Id="rId960" Type="http://schemas.openxmlformats.org/officeDocument/2006/relationships/hyperlink" Target="https://yamap.com/activities/46310167" TargetMode="External"/><Relationship Id="rId392" Type="http://schemas.openxmlformats.org/officeDocument/2006/relationships/hyperlink" Target="https://connect.garmin.com/app/activity/1177468850" TargetMode="External"/><Relationship Id="rId613" Type="http://schemas.openxmlformats.org/officeDocument/2006/relationships/hyperlink" Target="https://yamap.com/activities/13122597" TargetMode="External"/><Relationship Id="rId697" Type="http://schemas.openxmlformats.org/officeDocument/2006/relationships/hyperlink" Target="https://yamap.com/activities/18495712" TargetMode="External"/><Relationship Id="rId820" Type="http://schemas.openxmlformats.org/officeDocument/2006/relationships/hyperlink" Target="https://yamap.com/activities/31701495" TargetMode="External"/><Relationship Id="rId918" Type="http://schemas.openxmlformats.org/officeDocument/2006/relationships/hyperlink" Target="https://yamap.com/activities/43079563" TargetMode="External"/><Relationship Id="rId252" Type="http://schemas.openxmlformats.org/officeDocument/2006/relationships/hyperlink" Target="https://connect.garmin.com/app/activity/888061234" TargetMode="External"/><Relationship Id="rId47" Type="http://schemas.openxmlformats.org/officeDocument/2006/relationships/hyperlink" Target="https://connect.garmin.com/app/activity/24051106654" TargetMode="External"/><Relationship Id="rId112" Type="http://schemas.openxmlformats.org/officeDocument/2006/relationships/hyperlink" Target="https://connect.garmin.com/app/activity/24060692718" TargetMode="External"/><Relationship Id="rId557" Type="http://schemas.openxmlformats.org/officeDocument/2006/relationships/hyperlink" Target="https://connect.garmin.com/app/activity/24092680593" TargetMode="External"/><Relationship Id="rId764" Type="http://schemas.openxmlformats.org/officeDocument/2006/relationships/hyperlink" Target="https://yamap.com/activities/25106263" TargetMode="External"/><Relationship Id="rId971" Type="http://schemas.openxmlformats.org/officeDocument/2006/relationships/hyperlink" Target="https://yamap.com/activities/47721099" TargetMode="External"/><Relationship Id="rId196" Type="http://schemas.openxmlformats.org/officeDocument/2006/relationships/hyperlink" Target="https://connect.garmin.com/app/activity/24086021658" TargetMode="External"/><Relationship Id="rId417" Type="http://schemas.openxmlformats.org/officeDocument/2006/relationships/hyperlink" Target="https://connect.garmin.com/app/activity/1445256319" TargetMode="External"/><Relationship Id="rId624" Type="http://schemas.openxmlformats.org/officeDocument/2006/relationships/hyperlink" Target="https://yamap.com/activities/14032756" TargetMode="External"/><Relationship Id="rId831" Type="http://schemas.openxmlformats.org/officeDocument/2006/relationships/hyperlink" Target="https://yamap.com/activities/33422973" TargetMode="External"/><Relationship Id="rId263" Type="http://schemas.openxmlformats.org/officeDocument/2006/relationships/hyperlink" Target="https://connect.garmin.com/app/activity/888062083" TargetMode="External"/><Relationship Id="rId470" Type="http://schemas.openxmlformats.org/officeDocument/2006/relationships/hyperlink" Target="https://connect.garmin.com/app/activity/2347785140" TargetMode="External"/><Relationship Id="rId929" Type="http://schemas.openxmlformats.org/officeDocument/2006/relationships/hyperlink" Target="https://yamap.com/activities/44081118" TargetMode="External"/><Relationship Id="rId58" Type="http://schemas.openxmlformats.org/officeDocument/2006/relationships/hyperlink" Target="https://connect.garmin.com/app/activity/24055905625" TargetMode="External"/><Relationship Id="rId123" Type="http://schemas.openxmlformats.org/officeDocument/2006/relationships/hyperlink" Target="https://connect.garmin.com/app/activity/24061253725" TargetMode="External"/><Relationship Id="rId330" Type="http://schemas.openxmlformats.org/officeDocument/2006/relationships/hyperlink" Target="https://yamap.com/activities/40166965" TargetMode="External"/><Relationship Id="rId568" Type="http://schemas.openxmlformats.org/officeDocument/2006/relationships/hyperlink" Target="https://connect.garmin.com/app/activity/4233128790" TargetMode="External"/><Relationship Id="rId775" Type="http://schemas.openxmlformats.org/officeDocument/2006/relationships/hyperlink" Target="https://yamap.com/activities/26100913" TargetMode="External"/><Relationship Id="rId982" Type="http://schemas.openxmlformats.org/officeDocument/2006/relationships/hyperlink" Target="https://yamap.com/activities/48755606" TargetMode="External"/><Relationship Id="rId428" Type="http://schemas.openxmlformats.org/officeDocument/2006/relationships/hyperlink" Target="https://connect.garmin.com/app/activity/1534999716" TargetMode="External"/><Relationship Id="rId635" Type="http://schemas.openxmlformats.org/officeDocument/2006/relationships/hyperlink" Target="https://yamap.com/activities/14734150" TargetMode="External"/><Relationship Id="rId842" Type="http://schemas.openxmlformats.org/officeDocument/2006/relationships/hyperlink" Target="https://yamap.com/activities/35704111" TargetMode="External"/><Relationship Id="rId274" Type="http://schemas.openxmlformats.org/officeDocument/2006/relationships/hyperlink" Target="https://connect.garmin.com/app/activity/888062863" TargetMode="External"/><Relationship Id="rId481" Type="http://schemas.openxmlformats.org/officeDocument/2006/relationships/hyperlink" Target="https://connect.garmin.com/app/activity/2476865879" TargetMode="External"/><Relationship Id="rId702" Type="http://schemas.openxmlformats.org/officeDocument/2006/relationships/hyperlink" Target="https://yamap.com/activities/19020509" TargetMode="External"/><Relationship Id="rId69" Type="http://schemas.openxmlformats.org/officeDocument/2006/relationships/hyperlink" Target="https://connect.garmin.com/app/activity/24056129735" TargetMode="External"/><Relationship Id="rId134" Type="http://schemas.openxmlformats.org/officeDocument/2006/relationships/hyperlink" Target="https://connect.garmin.com/app/activity/24079109718" TargetMode="External"/><Relationship Id="rId579" Type="http://schemas.openxmlformats.org/officeDocument/2006/relationships/hyperlink" Target="https://connect.garmin.com/app/activity/4428441086" TargetMode="External"/><Relationship Id="rId786" Type="http://schemas.openxmlformats.org/officeDocument/2006/relationships/hyperlink" Target="https://yamap.com/activities/28059174" TargetMode="External"/><Relationship Id="rId341" Type="http://schemas.openxmlformats.org/officeDocument/2006/relationships/hyperlink" Target="https://yamap.com/activities/37090541" TargetMode="External"/><Relationship Id="rId439" Type="http://schemas.openxmlformats.org/officeDocument/2006/relationships/hyperlink" Target="https://connect.garmin.com/app/activity/1716290352" TargetMode="External"/><Relationship Id="rId646" Type="http://schemas.openxmlformats.org/officeDocument/2006/relationships/hyperlink" Target="https://yamap.com/activities/15228341" TargetMode="External"/><Relationship Id="rId201" Type="http://schemas.openxmlformats.org/officeDocument/2006/relationships/hyperlink" Target="https://connect.garmin.com/app/activity/24086290782" TargetMode="External"/><Relationship Id="rId285" Type="http://schemas.openxmlformats.org/officeDocument/2006/relationships/hyperlink" Target="https://connect.garmin.com/app/activity/888063427" TargetMode="External"/><Relationship Id="rId506" Type="http://schemas.openxmlformats.org/officeDocument/2006/relationships/hyperlink" Target="https://connect.garmin.com/app/activity/2834704214" TargetMode="External"/><Relationship Id="rId853" Type="http://schemas.openxmlformats.org/officeDocument/2006/relationships/hyperlink" Target="https://yamap.com/activities/37617228" TargetMode="External"/><Relationship Id="rId492" Type="http://schemas.openxmlformats.org/officeDocument/2006/relationships/hyperlink" Target="https://connect.garmin.com/app/activity/2606817672" TargetMode="External"/><Relationship Id="rId713" Type="http://schemas.openxmlformats.org/officeDocument/2006/relationships/hyperlink" Target="https://yamap.com/activities/19808433" TargetMode="External"/><Relationship Id="rId797" Type="http://schemas.openxmlformats.org/officeDocument/2006/relationships/hyperlink" Target="https://yamap.com/activities/30138023" TargetMode="External"/><Relationship Id="rId920" Type="http://schemas.openxmlformats.org/officeDocument/2006/relationships/hyperlink" Target="https://yamap.com/activities/43516919" TargetMode="External"/><Relationship Id="rId145" Type="http://schemas.openxmlformats.org/officeDocument/2006/relationships/hyperlink" Target="https://connect.garmin.com/app/activity/24079387571" TargetMode="External"/><Relationship Id="rId352" Type="http://schemas.openxmlformats.org/officeDocument/2006/relationships/hyperlink" Target="https://connect.garmin.com/app/activity/905427046" TargetMode="External"/><Relationship Id="rId212" Type="http://schemas.openxmlformats.org/officeDocument/2006/relationships/hyperlink" Target="https://connect.garmin.com/app/activity/432036252" TargetMode="External"/><Relationship Id="rId657" Type="http://schemas.openxmlformats.org/officeDocument/2006/relationships/hyperlink" Target="https://yamap.com/activities/15866769" TargetMode="External"/><Relationship Id="rId864" Type="http://schemas.openxmlformats.org/officeDocument/2006/relationships/hyperlink" Target="https://yamap.com/activities/38837794" TargetMode="External"/><Relationship Id="rId296" Type="http://schemas.openxmlformats.org/officeDocument/2006/relationships/hyperlink" Target="https://connect.garmin.com/app/activity/888064021" TargetMode="External"/><Relationship Id="rId517" Type="http://schemas.openxmlformats.org/officeDocument/2006/relationships/hyperlink" Target="https://connect.garmin.com/app/activity/3073814017" TargetMode="External"/><Relationship Id="rId724" Type="http://schemas.openxmlformats.org/officeDocument/2006/relationships/hyperlink" Target="https://yamap.com/activities/20954911" TargetMode="External"/><Relationship Id="rId931" Type="http://schemas.openxmlformats.org/officeDocument/2006/relationships/hyperlink" Target="https://yamap.com/activities/44164622" TargetMode="External"/><Relationship Id="rId60" Type="http://schemas.openxmlformats.org/officeDocument/2006/relationships/hyperlink" Target="https://connect.garmin.com/app/activity/24055928460" TargetMode="External"/><Relationship Id="rId156" Type="http://schemas.openxmlformats.org/officeDocument/2006/relationships/hyperlink" Target="https://connect.garmin.com/app/activity/24079623465" TargetMode="External"/><Relationship Id="rId363" Type="http://schemas.openxmlformats.org/officeDocument/2006/relationships/hyperlink" Target="https://connect.garmin.com/app/activity/986990631" TargetMode="External"/><Relationship Id="rId570" Type="http://schemas.openxmlformats.org/officeDocument/2006/relationships/hyperlink" Target="https://connect.garmin.com/app/activity/4294609465" TargetMode="External"/><Relationship Id="rId223" Type="http://schemas.openxmlformats.org/officeDocument/2006/relationships/hyperlink" Target="https://connect.garmin.com/app/activity/24087452043" TargetMode="External"/><Relationship Id="rId430" Type="http://schemas.openxmlformats.org/officeDocument/2006/relationships/hyperlink" Target="https://connect.garmin.com/app/activity/1545822478" TargetMode="External"/><Relationship Id="rId668" Type="http://schemas.openxmlformats.org/officeDocument/2006/relationships/hyperlink" Target="https://yamap.com/activities/16443639" TargetMode="External"/><Relationship Id="rId875" Type="http://schemas.openxmlformats.org/officeDocument/2006/relationships/hyperlink" Target="https://yamap.com/activities/39193862" TargetMode="External"/><Relationship Id="rId18" Type="http://schemas.openxmlformats.org/officeDocument/2006/relationships/hyperlink" Target="https://connect.garmin.com/app/activity/24108628265" TargetMode="External"/><Relationship Id="rId528" Type="http://schemas.openxmlformats.org/officeDocument/2006/relationships/hyperlink" Target="https://connect.garmin.com/app/activity/3179865661" TargetMode="External"/><Relationship Id="rId735" Type="http://schemas.openxmlformats.org/officeDocument/2006/relationships/hyperlink" Target="https://yamap.com/activities/22221650" TargetMode="External"/><Relationship Id="rId942" Type="http://schemas.openxmlformats.org/officeDocument/2006/relationships/hyperlink" Target="https://yamap.com/activities/44628027" TargetMode="External"/><Relationship Id="rId167" Type="http://schemas.openxmlformats.org/officeDocument/2006/relationships/hyperlink" Target="https://connect.garmin.com/app/activity/24083816479" TargetMode="External"/><Relationship Id="rId374" Type="http://schemas.openxmlformats.org/officeDocument/2006/relationships/hyperlink" Target="https://connect.garmin.com/app/activity/1053250798" TargetMode="External"/><Relationship Id="rId581" Type="http://schemas.openxmlformats.org/officeDocument/2006/relationships/hyperlink" Target="https://connect.garmin.com/app/activity/4476107074" TargetMode="External"/><Relationship Id="rId71" Type="http://schemas.openxmlformats.org/officeDocument/2006/relationships/hyperlink" Target="https://connect.garmin.com/app/activity/24056154452" TargetMode="External"/><Relationship Id="rId234" Type="http://schemas.openxmlformats.org/officeDocument/2006/relationships/hyperlink" Target="https://connect.garmin.com/app/activity/432039714" TargetMode="External"/><Relationship Id="rId679" Type="http://schemas.openxmlformats.org/officeDocument/2006/relationships/hyperlink" Target="https://yamap.com/activities/17021511" TargetMode="External"/><Relationship Id="rId802" Type="http://schemas.openxmlformats.org/officeDocument/2006/relationships/hyperlink" Target="https://yamap.com/activities/30432783" TargetMode="External"/><Relationship Id="rId886" Type="http://schemas.openxmlformats.org/officeDocument/2006/relationships/hyperlink" Target="https://yamap.com/activities/40244909" TargetMode="External"/><Relationship Id="rId2" Type="http://schemas.openxmlformats.org/officeDocument/2006/relationships/hyperlink" Target="https://connect.garmin.com/app/activity/24047009221" TargetMode="External"/><Relationship Id="rId29" Type="http://schemas.openxmlformats.org/officeDocument/2006/relationships/hyperlink" Target="https://connect.garmin.com/app/activity/24049460306" TargetMode="External"/><Relationship Id="rId441" Type="http://schemas.openxmlformats.org/officeDocument/2006/relationships/hyperlink" Target="https://connect.garmin.com/app/activity/1743309543" TargetMode="External"/><Relationship Id="rId539" Type="http://schemas.openxmlformats.org/officeDocument/2006/relationships/hyperlink" Target="https://connect.garmin.com/app/activity/3388362259" TargetMode="External"/><Relationship Id="rId746" Type="http://schemas.openxmlformats.org/officeDocument/2006/relationships/hyperlink" Target="https://yamap.com/activities/23324833" TargetMode="External"/><Relationship Id="rId178" Type="http://schemas.openxmlformats.org/officeDocument/2006/relationships/hyperlink" Target="https://connect.garmin.com/app/activity/24084417538" TargetMode="External"/><Relationship Id="rId301" Type="http://schemas.openxmlformats.org/officeDocument/2006/relationships/hyperlink" Target="https://connect.garmin.com/app/activity/888064472?trimmed=true" TargetMode="External"/><Relationship Id="rId953" Type="http://schemas.openxmlformats.org/officeDocument/2006/relationships/hyperlink" Target="https://yamap.com/activities/45473361" TargetMode="External"/><Relationship Id="rId82" Type="http://schemas.openxmlformats.org/officeDocument/2006/relationships/hyperlink" Target="https://connect.garmin.com/app/activity/24056387035" TargetMode="External"/><Relationship Id="rId385" Type="http://schemas.openxmlformats.org/officeDocument/2006/relationships/hyperlink" Target="https://connect.garmin.com/app/activity/1119813790" TargetMode="External"/><Relationship Id="rId592" Type="http://schemas.openxmlformats.org/officeDocument/2006/relationships/hyperlink" Target="https://yamap.com/activities/9999240" TargetMode="External"/><Relationship Id="rId606" Type="http://schemas.openxmlformats.org/officeDocument/2006/relationships/hyperlink" Target="https://yamap.com/activities/12130207" TargetMode="External"/><Relationship Id="rId813" Type="http://schemas.openxmlformats.org/officeDocument/2006/relationships/hyperlink" Target="https://yamap.com/activities/31369667" TargetMode="External"/><Relationship Id="rId245" Type="http://schemas.openxmlformats.org/officeDocument/2006/relationships/hyperlink" Target="https://connect.garmin.com/app/activity/432130297" TargetMode="External"/><Relationship Id="rId452" Type="http://schemas.openxmlformats.org/officeDocument/2006/relationships/hyperlink" Target="https://connect.garmin.com/app/activity/1859140793" TargetMode="External"/><Relationship Id="rId897" Type="http://schemas.openxmlformats.org/officeDocument/2006/relationships/hyperlink" Target="https://yamap.com/activities/40902881" TargetMode="External"/><Relationship Id="rId105" Type="http://schemas.openxmlformats.org/officeDocument/2006/relationships/hyperlink" Target="https://connect.garmin.com/app/activity/24219000853" TargetMode="External"/><Relationship Id="rId312" Type="http://schemas.openxmlformats.org/officeDocument/2006/relationships/hyperlink" Target="https://connect.garmin.com/app/activity/888064919" TargetMode="External"/><Relationship Id="rId757" Type="http://schemas.openxmlformats.org/officeDocument/2006/relationships/hyperlink" Target="https://yamap.com/activities/24406370" TargetMode="External"/><Relationship Id="rId964" Type="http://schemas.openxmlformats.org/officeDocument/2006/relationships/hyperlink" Target="https://yamap.com/activities/46638527" TargetMode="External"/><Relationship Id="rId93" Type="http://schemas.openxmlformats.org/officeDocument/2006/relationships/hyperlink" Target="https://connect.garmin.com/app/activity/24059945632" TargetMode="External"/><Relationship Id="rId189" Type="http://schemas.openxmlformats.org/officeDocument/2006/relationships/hyperlink" Target="https://connect.garmin.com/app/activity/24079763810" TargetMode="External"/><Relationship Id="rId396" Type="http://schemas.openxmlformats.org/officeDocument/2006/relationships/hyperlink" Target="https://connect.garmin.com/app/activity/1208975986" TargetMode="External"/><Relationship Id="rId617" Type="http://schemas.openxmlformats.org/officeDocument/2006/relationships/hyperlink" Target="https://yamap.com/activities/13458770" TargetMode="External"/><Relationship Id="rId824" Type="http://schemas.openxmlformats.org/officeDocument/2006/relationships/hyperlink" Target="https://yamap.com/activities/32234677" TargetMode="External"/><Relationship Id="rId256" Type="http://schemas.openxmlformats.org/officeDocument/2006/relationships/hyperlink" Target="https://connect.garmin.com/app/activity/888061607" TargetMode="External"/><Relationship Id="rId463" Type="http://schemas.openxmlformats.org/officeDocument/2006/relationships/hyperlink" Target="https://connect.garmin.com/app/activity/2214806080" TargetMode="External"/><Relationship Id="rId670" Type="http://schemas.openxmlformats.org/officeDocument/2006/relationships/hyperlink" Target="https://yamap.com/activities/16570543" TargetMode="External"/><Relationship Id="rId116" Type="http://schemas.openxmlformats.org/officeDocument/2006/relationships/hyperlink" Target="https://connect.garmin.com/app/activity/24060878656" TargetMode="External"/><Relationship Id="rId323" Type="http://schemas.openxmlformats.org/officeDocument/2006/relationships/hyperlink" Target="https://connect.garmin.com/app/activity/888065635" TargetMode="External"/><Relationship Id="rId530" Type="http://schemas.openxmlformats.org/officeDocument/2006/relationships/hyperlink" Target="https://connect.garmin.com/app/activity/3239605270" TargetMode="External"/><Relationship Id="rId768" Type="http://schemas.openxmlformats.org/officeDocument/2006/relationships/hyperlink" Target="https://yamap.com/activities/25591336" TargetMode="External"/><Relationship Id="rId975" Type="http://schemas.openxmlformats.org/officeDocument/2006/relationships/hyperlink" Target="https://yamap.com/activities/47977237" TargetMode="External"/><Relationship Id="rId20" Type="http://schemas.openxmlformats.org/officeDocument/2006/relationships/hyperlink" Target="https://connect.garmin.com/app/activity/24108734458" TargetMode="External"/><Relationship Id="rId628" Type="http://schemas.openxmlformats.org/officeDocument/2006/relationships/hyperlink" Target="https://yamap.com/activities/14308427" TargetMode="External"/><Relationship Id="rId835" Type="http://schemas.openxmlformats.org/officeDocument/2006/relationships/hyperlink" Target="https://yamap.com/activities/34118214" TargetMode="External"/><Relationship Id="rId267" Type="http://schemas.openxmlformats.org/officeDocument/2006/relationships/hyperlink" Target="https://connect.garmin.com/app/activity/888062295" TargetMode="External"/><Relationship Id="rId474" Type="http://schemas.openxmlformats.org/officeDocument/2006/relationships/hyperlink" Target="https://connect.garmin.com/app/activity/2383345688" TargetMode="External"/><Relationship Id="rId127" Type="http://schemas.openxmlformats.org/officeDocument/2006/relationships/hyperlink" Target="https://connect.garmin.com/app/activity/24061397816" TargetMode="External"/><Relationship Id="rId681" Type="http://schemas.openxmlformats.org/officeDocument/2006/relationships/hyperlink" Target="https://yamap.com/activities/17114677" TargetMode="External"/><Relationship Id="rId779" Type="http://schemas.openxmlformats.org/officeDocument/2006/relationships/hyperlink" Target="https://yamap.com/activities/27434835" TargetMode="External"/><Relationship Id="rId902" Type="http://schemas.openxmlformats.org/officeDocument/2006/relationships/hyperlink" Target="https://yamap.com/activities/41422725" TargetMode="External"/><Relationship Id="rId986" Type="http://schemas.openxmlformats.org/officeDocument/2006/relationships/hyperlink" Target="https://yamap.com/activities/49368130" TargetMode="External"/><Relationship Id="rId31" Type="http://schemas.openxmlformats.org/officeDocument/2006/relationships/hyperlink" Target="https://connect.garmin.com/app/activity/24049561652" TargetMode="External"/><Relationship Id="rId334" Type="http://schemas.openxmlformats.org/officeDocument/2006/relationships/hyperlink" Target="https://connect.garmin.com/app/activity/888066336" TargetMode="External"/><Relationship Id="rId541" Type="http://schemas.openxmlformats.org/officeDocument/2006/relationships/hyperlink" Target="https://connect.garmin.com/app/activity/3510785510" TargetMode="External"/><Relationship Id="rId639" Type="http://schemas.openxmlformats.org/officeDocument/2006/relationships/hyperlink" Target="https://yamap.com/activities/14970016" TargetMode="External"/><Relationship Id="rId180" Type="http://schemas.openxmlformats.org/officeDocument/2006/relationships/hyperlink" Target="https://connect.garmin.com/app/activity/24084569292" TargetMode="External"/><Relationship Id="rId278" Type="http://schemas.openxmlformats.org/officeDocument/2006/relationships/hyperlink" Target="https://connect.garmin.com/app/activity/888063068" TargetMode="External"/><Relationship Id="rId401" Type="http://schemas.openxmlformats.org/officeDocument/2006/relationships/hyperlink" Target="https://connect.garmin.com/app/activity/1270052891" TargetMode="External"/><Relationship Id="rId846" Type="http://schemas.openxmlformats.org/officeDocument/2006/relationships/hyperlink" Target="https://yamap.com/activities/36882449" TargetMode="External"/><Relationship Id="rId485" Type="http://schemas.openxmlformats.org/officeDocument/2006/relationships/hyperlink" Target="https://connect.garmin.com/app/activity/24218414369" TargetMode="External"/><Relationship Id="rId692" Type="http://schemas.openxmlformats.org/officeDocument/2006/relationships/hyperlink" Target="https://yamap.com/activities/18220320" TargetMode="External"/><Relationship Id="rId706" Type="http://schemas.openxmlformats.org/officeDocument/2006/relationships/hyperlink" Target="https://yamap.com/activities/19239994" TargetMode="External"/><Relationship Id="rId913" Type="http://schemas.openxmlformats.org/officeDocument/2006/relationships/hyperlink" Target="https://yamap.com/activities/42835871" TargetMode="External"/><Relationship Id="rId42" Type="http://schemas.openxmlformats.org/officeDocument/2006/relationships/hyperlink" Target="https://connect.garmin.com/app/activity/24050198218" TargetMode="External"/><Relationship Id="rId138" Type="http://schemas.openxmlformats.org/officeDocument/2006/relationships/hyperlink" Target="https://connect.garmin.com/app/activity/24079270335" TargetMode="External"/><Relationship Id="rId345" Type="http://schemas.openxmlformats.org/officeDocument/2006/relationships/hyperlink" Target="https://connect.garmin.com/app/activity/888066869" TargetMode="External"/><Relationship Id="rId552" Type="http://schemas.openxmlformats.org/officeDocument/2006/relationships/hyperlink" Target="https://connect.garmin.com/app/activity/3658868638" TargetMode="External"/><Relationship Id="rId191" Type="http://schemas.openxmlformats.org/officeDocument/2006/relationships/hyperlink" Target="https://connect.garmin.com/app/activity/24085557967" TargetMode="External"/><Relationship Id="rId205" Type="http://schemas.openxmlformats.org/officeDocument/2006/relationships/hyperlink" Target="https://connect.garmin.com/app/activity/24086469864" TargetMode="External"/><Relationship Id="rId412" Type="http://schemas.openxmlformats.org/officeDocument/2006/relationships/hyperlink" Target="https://connect.garmin.com/app/activity/1416384745" TargetMode="External"/><Relationship Id="rId857" Type="http://schemas.openxmlformats.org/officeDocument/2006/relationships/hyperlink" Target="https://yamap.com/activities/38258330" TargetMode="External"/><Relationship Id="rId289" Type="http://schemas.openxmlformats.org/officeDocument/2006/relationships/hyperlink" Target="https://connect.garmin.com/app/activity/888063668" TargetMode="External"/><Relationship Id="rId496" Type="http://schemas.openxmlformats.org/officeDocument/2006/relationships/hyperlink" Target="https://yamap.com/activities/39830590" TargetMode="External"/><Relationship Id="rId717" Type="http://schemas.openxmlformats.org/officeDocument/2006/relationships/hyperlink" Target="https://yamap.com/activities/20317913" TargetMode="External"/><Relationship Id="rId924" Type="http://schemas.openxmlformats.org/officeDocument/2006/relationships/hyperlink" Target="https://yamap.com/activities/43812734" TargetMode="External"/><Relationship Id="rId53" Type="http://schemas.openxmlformats.org/officeDocument/2006/relationships/hyperlink" Target="https://connect.garmin.com/app/activity/24055825588" TargetMode="External"/><Relationship Id="rId149" Type="http://schemas.openxmlformats.org/officeDocument/2006/relationships/hyperlink" Target="https://connect.garmin.com/app/activity/24079437081" TargetMode="External"/><Relationship Id="rId356" Type="http://schemas.openxmlformats.org/officeDocument/2006/relationships/hyperlink" Target="https://connect.garmin.com/app/activity/942273786" TargetMode="External"/><Relationship Id="rId563" Type="http://schemas.openxmlformats.org/officeDocument/2006/relationships/hyperlink" Target="https://connect.garmin.com/app/activity/4062883628" TargetMode="External"/><Relationship Id="rId770" Type="http://schemas.openxmlformats.org/officeDocument/2006/relationships/hyperlink" Target="https://yamap.com/activities/25630447" TargetMode="External"/><Relationship Id="rId216" Type="http://schemas.openxmlformats.org/officeDocument/2006/relationships/hyperlink" Target="https://connect.garmin.com/app/activity/432039655" TargetMode="External"/><Relationship Id="rId423" Type="http://schemas.openxmlformats.org/officeDocument/2006/relationships/hyperlink" Target="https://connect.garmin.com/app/activity/1494898907" TargetMode="External"/><Relationship Id="rId868" Type="http://schemas.openxmlformats.org/officeDocument/2006/relationships/hyperlink" Target="https://yamap.com/activities/38984121" TargetMode="External"/><Relationship Id="rId630" Type="http://schemas.openxmlformats.org/officeDocument/2006/relationships/hyperlink" Target="https://yamap.com/activities/14464965" TargetMode="External"/><Relationship Id="rId728" Type="http://schemas.openxmlformats.org/officeDocument/2006/relationships/hyperlink" Target="https://yamap.com/activities/21189213" TargetMode="External"/><Relationship Id="rId935" Type="http://schemas.openxmlformats.org/officeDocument/2006/relationships/hyperlink" Target="https://yamap.com/activities/44269704" TargetMode="External"/><Relationship Id="rId64" Type="http://schemas.openxmlformats.org/officeDocument/2006/relationships/hyperlink" Target="https://connect.garmin.com/app/activity/24055996547" TargetMode="External"/><Relationship Id="rId367" Type="http://schemas.openxmlformats.org/officeDocument/2006/relationships/hyperlink" Target="https://connect.garmin.com/app/activity/1002799408" TargetMode="External"/><Relationship Id="rId574" Type="http://schemas.openxmlformats.org/officeDocument/2006/relationships/hyperlink" Target="https://connect.garmin.com/app/activity/4298624793" TargetMode="External"/><Relationship Id="rId227" Type="http://schemas.openxmlformats.org/officeDocument/2006/relationships/hyperlink" Target="https://connect.garmin.com/app/activity/432039822" TargetMode="External"/><Relationship Id="rId781" Type="http://schemas.openxmlformats.org/officeDocument/2006/relationships/hyperlink" Target="https://yamap.com/activities/27647724" TargetMode="External"/><Relationship Id="rId879" Type="http://schemas.openxmlformats.org/officeDocument/2006/relationships/hyperlink" Target="https://yamap.com/activities/39830593" TargetMode="External"/><Relationship Id="rId434" Type="http://schemas.openxmlformats.org/officeDocument/2006/relationships/hyperlink" Target="https://connect.garmin.com/app/activity/1627939516" TargetMode="External"/><Relationship Id="rId641" Type="http://schemas.openxmlformats.org/officeDocument/2006/relationships/hyperlink" Target="https://yamap.com/activities/15029594" TargetMode="External"/><Relationship Id="rId739" Type="http://schemas.openxmlformats.org/officeDocument/2006/relationships/hyperlink" Target="https://yamap.com/activities/22699943" TargetMode="External"/><Relationship Id="rId280" Type="http://schemas.openxmlformats.org/officeDocument/2006/relationships/hyperlink" Target="https://connect.garmin.com/app/activity/888063137" TargetMode="External"/><Relationship Id="rId501" Type="http://schemas.openxmlformats.org/officeDocument/2006/relationships/hyperlink" Target="https://connect.garmin.com/app/activity/2747715293" TargetMode="External"/><Relationship Id="rId946" Type="http://schemas.openxmlformats.org/officeDocument/2006/relationships/hyperlink" Target="https://yamap.com/activities/44902137" TargetMode="External"/><Relationship Id="rId75" Type="http://schemas.openxmlformats.org/officeDocument/2006/relationships/hyperlink" Target="https://connect.garmin.com/app/activity/24056261867" TargetMode="External"/><Relationship Id="rId140" Type="http://schemas.openxmlformats.org/officeDocument/2006/relationships/hyperlink" Target="https://connect.garmin.com/app/activity/24079309374" TargetMode="External"/><Relationship Id="rId378" Type="http://schemas.openxmlformats.org/officeDocument/2006/relationships/hyperlink" Target="https://connect.garmin.com/app/activity/1064981153" TargetMode="External"/><Relationship Id="rId585" Type="http://schemas.openxmlformats.org/officeDocument/2006/relationships/hyperlink" Target="https://yamap.com/activities/10173832" TargetMode="External"/><Relationship Id="rId792" Type="http://schemas.openxmlformats.org/officeDocument/2006/relationships/hyperlink" Target="https://yamap.com/activities/29518889" TargetMode="External"/><Relationship Id="rId806" Type="http://schemas.openxmlformats.org/officeDocument/2006/relationships/hyperlink" Target="https://yamap.com/activities/30709980" TargetMode="External"/><Relationship Id="rId6" Type="http://schemas.openxmlformats.org/officeDocument/2006/relationships/hyperlink" Target="https://connect.garmin.com/app/activity/24109607695" TargetMode="External"/><Relationship Id="rId238" Type="http://schemas.openxmlformats.org/officeDocument/2006/relationships/hyperlink" Target="https://connect.garmin.com/app/activity/432045156" TargetMode="External"/><Relationship Id="rId445" Type="http://schemas.openxmlformats.org/officeDocument/2006/relationships/hyperlink" Target="https://connect.garmin.com/app/activity/1780935462" TargetMode="External"/><Relationship Id="rId652" Type="http://schemas.openxmlformats.org/officeDocument/2006/relationships/hyperlink" Target="https://yamap.com/activities/15632125" TargetMode="External"/><Relationship Id="rId291" Type="http://schemas.openxmlformats.org/officeDocument/2006/relationships/hyperlink" Target="https://connect.garmin.com/app/activity/888063777" TargetMode="External"/><Relationship Id="rId305" Type="http://schemas.openxmlformats.org/officeDocument/2006/relationships/hyperlink" Target="https://connect.garmin.com/app/activity/888064591" TargetMode="External"/><Relationship Id="rId512" Type="http://schemas.openxmlformats.org/officeDocument/2006/relationships/hyperlink" Target="https://connect.garmin.com/app/activity/2941088550" TargetMode="External"/><Relationship Id="rId957" Type="http://schemas.openxmlformats.org/officeDocument/2006/relationships/hyperlink" Target="https://yamap.com/activities/45892255" TargetMode="External"/><Relationship Id="rId86" Type="http://schemas.openxmlformats.org/officeDocument/2006/relationships/hyperlink" Target="https://connect.garmin.com/app/activity/24056579359" TargetMode="External"/><Relationship Id="rId151" Type="http://schemas.openxmlformats.org/officeDocument/2006/relationships/hyperlink" Target="https://connect.garmin.com/app/activity/24079548642" TargetMode="External"/><Relationship Id="rId389" Type="http://schemas.openxmlformats.org/officeDocument/2006/relationships/hyperlink" Target="https://connect.garmin.com/app/activity/1150387726" TargetMode="External"/><Relationship Id="rId596" Type="http://schemas.openxmlformats.org/officeDocument/2006/relationships/hyperlink" Target="https://yamap.com/activities/10292593" TargetMode="External"/><Relationship Id="rId817" Type="http://schemas.openxmlformats.org/officeDocument/2006/relationships/hyperlink" Target="https://yamap.com/activities/31406791" TargetMode="External"/><Relationship Id="rId249" Type="http://schemas.openxmlformats.org/officeDocument/2006/relationships/hyperlink" Target="https://connect.garmin.com/app/activity/888061036" TargetMode="External"/><Relationship Id="rId456" Type="http://schemas.openxmlformats.org/officeDocument/2006/relationships/hyperlink" Target="https://connect.garmin.com/app/activity/1955102582" TargetMode="External"/><Relationship Id="rId663" Type="http://schemas.openxmlformats.org/officeDocument/2006/relationships/hyperlink" Target="https://yamap.com/activities/16199017" TargetMode="External"/><Relationship Id="rId870" Type="http://schemas.openxmlformats.org/officeDocument/2006/relationships/hyperlink" Target="https://yamap.com/activities/38994378" TargetMode="External"/><Relationship Id="rId13" Type="http://schemas.openxmlformats.org/officeDocument/2006/relationships/hyperlink" Target="https://connect.garmin.com/app/activity/24109475237" TargetMode="External"/><Relationship Id="rId109" Type="http://schemas.openxmlformats.org/officeDocument/2006/relationships/hyperlink" Target="https://connect.garmin.com/app/activity/24060548150" TargetMode="External"/><Relationship Id="rId316" Type="http://schemas.openxmlformats.org/officeDocument/2006/relationships/hyperlink" Target="https://connect.garmin.com/app/activity/888065205" TargetMode="External"/><Relationship Id="rId523" Type="http://schemas.openxmlformats.org/officeDocument/2006/relationships/hyperlink" Target="https://connect.garmin.com/app/activity/3136205257" TargetMode="External"/><Relationship Id="rId968" Type="http://schemas.openxmlformats.org/officeDocument/2006/relationships/hyperlink" Target="https://yamap.com/activities/47045122" TargetMode="External"/><Relationship Id="rId97" Type="http://schemas.openxmlformats.org/officeDocument/2006/relationships/hyperlink" Target="https://connect.garmin.com/app/activity/24060122061" TargetMode="External"/><Relationship Id="rId730" Type="http://schemas.openxmlformats.org/officeDocument/2006/relationships/hyperlink" Target="https://yamap.com/activities/21340407" TargetMode="External"/><Relationship Id="rId828" Type="http://schemas.openxmlformats.org/officeDocument/2006/relationships/hyperlink" Target="https://yamap.com/activities/33065886" TargetMode="External"/><Relationship Id="rId162" Type="http://schemas.openxmlformats.org/officeDocument/2006/relationships/hyperlink" Target="https://connect.garmin.com/app/activity/24079746685" TargetMode="External"/><Relationship Id="rId467" Type="http://schemas.openxmlformats.org/officeDocument/2006/relationships/hyperlink" Target="https://connect.garmin.com/app/activity/2327232602" TargetMode="External"/><Relationship Id="rId674" Type="http://schemas.openxmlformats.org/officeDocument/2006/relationships/hyperlink" Target="https://yamap.com/activities/16833432" TargetMode="External"/><Relationship Id="rId881" Type="http://schemas.openxmlformats.org/officeDocument/2006/relationships/hyperlink" Target="https://yamap.com/activities/39869225" TargetMode="External"/><Relationship Id="rId979" Type="http://schemas.openxmlformats.org/officeDocument/2006/relationships/hyperlink" Target="https://yamap.com/activities/48398786" TargetMode="External"/><Relationship Id="rId24" Type="http://schemas.openxmlformats.org/officeDocument/2006/relationships/hyperlink" Target="https://connect.garmin.com/app/activity/24049068270" TargetMode="External"/><Relationship Id="rId327" Type="http://schemas.openxmlformats.org/officeDocument/2006/relationships/hyperlink" Target="https://connect.garmin.com/app/activity/888065866" TargetMode="External"/><Relationship Id="rId534" Type="http://schemas.openxmlformats.org/officeDocument/2006/relationships/hyperlink" Target="https://connect.garmin.com/app/activity/3312463127" TargetMode="External"/><Relationship Id="rId741" Type="http://schemas.openxmlformats.org/officeDocument/2006/relationships/hyperlink" Target="https://yamap.com/activities/22968981" TargetMode="External"/><Relationship Id="rId839" Type="http://schemas.openxmlformats.org/officeDocument/2006/relationships/hyperlink" Target="https://yamap.com/activities/34906542" TargetMode="External"/><Relationship Id="rId173" Type="http://schemas.openxmlformats.org/officeDocument/2006/relationships/hyperlink" Target="https://connect.garmin.com/app/activity/24084122107" TargetMode="External"/><Relationship Id="rId380" Type="http://schemas.openxmlformats.org/officeDocument/2006/relationships/hyperlink" Target="https://connect.garmin.com/app/activity/1073050601" TargetMode="External"/><Relationship Id="rId601" Type="http://schemas.openxmlformats.org/officeDocument/2006/relationships/hyperlink" Target="https://yamap.com/activities/11693375" TargetMode="External"/><Relationship Id="rId240" Type="http://schemas.openxmlformats.org/officeDocument/2006/relationships/hyperlink" Target="https://connect.garmin.com/app/activity/432045099" TargetMode="External"/><Relationship Id="rId478" Type="http://schemas.openxmlformats.org/officeDocument/2006/relationships/hyperlink" Target="https://connect.garmin.com/app/activity/2419004873" TargetMode="External"/><Relationship Id="rId685" Type="http://schemas.openxmlformats.org/officeDocument/2006/relationships/hyperlink" Target="https://yamap.com/activities/17494652" TargetMode="External"/><Relationship Id="rId892" Type="http://schemas.openxmlformats.org/officeDocument/2006/relationships/hyperlink" Target="https://yamap.com/activities/40563265" TargetMode="External"/><Relationship Id="rId906" Type="http://schemas.openxmlformats.org/officeDocument/2006/relationships/hyperlink" Target="https://yamap.com/activities/41546766" TargetMode="External"/><Relationship Id="rId35" Type="http://schemas.openxmlformats.org/officeDocument/2006/relationships/hyperlink" Target="https://connect.garmin.com/app/activity/24049712428" TargetMode="External"/><Relationship Id="rId100" Type="http://schemas.openxmlformats.org/officeDocument/2006/relationships/hyperlink" Target="https://connect.garmin.com/app/activity/24060303161" TargetMode="External"/><Relationship Id="rId338" Type="http://schemas.openxmlformats.org/officeDocument/2006/relationships/hyperlink" Target="https://connect.garmin.com/app/activity/888066551" TargetMode="External"/><Relationship Id="rId545" Type="http://schemas.openxmlformats.org/officeDocument/2006/relationships/hyperlink" Target="https://connect.garmin.com/app/activity/3573272393" TargetMode="External"/><Relationship Id="rId752" Type="http://schemas.openxmlformats.org/officeDocument/2006/relationships/hyperlink" Target="https://yamap.com/activities/23911421" TargetMode="External"/><Relationship Id="rId184" Type="http://schemas.openxmlformats.org/officeDocument/2006/relationships/hyperlink" Target="https://connect.garmin.com/app/activity/24084926122" TargetMode="External"/><Relationship Id="rId391" Type="http://schemas.openxmlformats.org/officeDocument/2006/relationships/hyperlink" Target="https://connect.garmin.com/app/activity/1168611584" TargetMode="External"/><Relationship Id="rId405" Type="http://schemas.openxmlformats.org/officeDocument/2006/relationships/hyperlink" Target="https://connect.garmin.com/app/activity/1324363381" TargetMode="External"/><Relationship Id="rId612" Type="http://schemas.openxmlformats.org/officeDocument/2006/relationships/hyperlink" Target="https://yamap.com/activities/12759191" TargetMode="External"/><Relationship Id="rId251" Type="http://schemas.openxmlformats.org/officeDocument/2006/relationships/hyperlink" Target="https://connect.garmin.com/app/activity/888061212" TargetMode="External"/><Relationship Id="rId489" Type="http://schemas.openxmlformats.org/officeDocument/2006/relationships/hyperlink" Target="https://connect.garmin.com/app/activity/2577226575" TargetMode="External"/><Relationship Id="rId696" Type="http://schemas.openxmlformats.org/officeDocument/2006/relationships/hyperlink" Target="https://yamap.com/activities/18522452" TargetMode="External"/><Relationship Id="rId917" Type="http://schemas.openxmlformats.org/officeDocument/2006/relationships/hyperlink" Target="https://yamap.com/activities/43304627" TargetMode="External"/><Relationship Id="rId46" Type="http://schemas.openxmlformats.org/officeDocument/2006/relationships/hyperlink" Target="https://connect.garmin.com/app/activity/24050407789" TargetMode="External"/><Relationship Id="rId349" Type="http://schemas.openxmlformats.org/officeDocument/2006/relationships/hyperlink" Target="https://connect.garmin.com/app/activity/889345406" TargetMode="External"/><Relationship Id="rId556" Type="http://schemas.openxmlformats.org/officeDocument/2006/relationships/hyperlink" Target="https://connect.garmin.com/app/activity/3806202435" TargetMode="External"/><Relationship Id="rId763" Type="http://schemas.openxmlformats.org/officeDocument/2006/relationships/hyperlink" Target="https://yamap.com/activities/24977594" TargetMode="External"/><Relationship Id="rId111" Type="http://schemas.openxmlformats.org/officeDocument/2006/relationships/hyperlink" Target="https://connect.garmin.com/app/activity/24060625165" TargetMode="External"/><Relationship Id="rId195" Type="http://schemas.openxmlformats.org/officeDocument/2006/relationships/hyperlink" Target="https://connect.garmin.com/app/activity/24085949097" TargetMode="External"/><Relationship Id="rId209" Type="http://schemas.openxmlformats.org/officeDocument/2006/relationships/hyperlink" Target="https://connect.garmin.com/app/activity/345323039" TargetMode="External"/><Relationship Id="rId416" Type="http://schemas.openxmlformats.org/officeDocument/2006/relationships/hyperlink" Target="https://connect.garmin.com/app/activity/1445105148" TargetMode="External"/><Relationship Id="rId970" Type="http://schemas.openxmlformats.org/officeDocument/2006/relationships/hyperlink" Target="https://yamap.com/activities/47672844" TargetMode="External"/><Relationship Id="rId623" Type="http://schemas.openxmlformats.org/officeDocument/2006/relationships/hyperlink" Target="https://yamap.com/activities/13967282" TargetMode="External"/><Relationship Id="rId830" Type="http://schemas.openxmlformats.org/officeDocument/2006/relationships/hyperlink" Target="https://yamap.com/activities/33391050" TargetMode="External"/><Relationship Id="rId928" Type="http://schemas.openxmlformats.org/officeDocument/2006/relationships/hyperlink" Target="https://yamap.com/activities/44097526" TargetMode="External"/><Relationship Id="rId57" Type="http://schemas.openxmlformats.org/officeDocument/2006/relationships/hyperlink" Target="https://connect.garmin.com/app/activity/24055890891" TargetMode="External"/><Relationship Id="rId262" Type="http://schemas.openxmlformats.org/officeDocument/2006/relationships/hyperlink" Target="https://connect.garmin.com/app/activity/888062032" TargetMode="External"/><Relationship Id="rId567" Type="http://schemas.openxmlformats.org/officeDocument/2006/relationships/hyperlink" Target="https://connect.garmin.com/app/activity/4233128751" TargetMode="External"/><Relationship Id="rId122" Type="http://schemas.openxmlformats.org/officeDocument/2006/relationships/hyperlink" Target="https://connect.garmin.com/app/activity/24061177981" TargetMode="External"/><Relationship Id="rId774" Type="http://schemas.openxmlformats.org/officeDocument/2006/relationships/hyperlink" Target="https://yamap.com/activities/26100901" TargetMode="External"/><Relationship Id="rId981" Type="http://schemas.openxmlformats.org/officeDocument/2006/relationships/hyperlink" Target="https://yamap.com/activities/48576878" TargetMode="External"/><Relationship Id="rId427" Type="http://schemas.openxmlformats.org/officeDocument/2006/relationships/hyperlink" Target="https://connect.garmin.com/app/activity/1525839938" TargetMode="External"/><Relationship Id="rId634" Type="http://schemas.openxmlformats.org/officeDocument/2006/relationships/hyperlink" Target="https://yamap.com/activities/14650930" TargetMode="External"/><Relationship Id="rId841" Type="http://schemas.openxmlformats.org/officeDocument/2006/relationships/hyperlink" Target="https://yamap.com/activities/35204533" TargetMode="External"/><Relationship Id="rId273" Type="http://schemas.openxmlformats.org/officeDocument/2006/relationships/hyperlink" Target="https://connect.garmin.com/app/activity/888062819" TargetMode="External"/><Relationship Id="rId480" Type="http://schemas.openxmlformats.org/officeDocument/2006/relationships/hyperlink" Target="https://connect.garmin.com/app/activity/2445488359" TargetMode="External"/><Relationship Id="rId701" Type="http://schemas.openxmlformats.org/officeDocument/2006/relationships/hyperlink" Target="https://yamap.com/activities/18862550" TargetMode="External"/><Relationship Id="rId939" Type="http://schemas.openxmlformats.org/officeDocument/2006/relationships/hyperlink" Target="https://yamap.com/activities/44338827" TargetMode="External"/><Relationship Id="rId68" Type="http://schemas.openxmlformats.org/officeDocument/2006/relationships/hyperlink" Target="https://connect.garmin.com/app/activity/24032367257" TargetMode="External"/><Relationship Id="rId133" Type="http://schemas.openxmlformats.org/officeDocument/2006/relationships/hyperlink" Target="https://connect.garmin.com/app/activity/24079099296" TargetMode="External"/><Relationship Id="rId340" Type="http://schemas.openxmlformats.org/officeDocument/2006/relationships/hyperlink" Target="https://connect.garmin.com/app/activity/888066579" TargetMode="External"/><Relationship Id="rId578" Type="http://schemas.openxmlformats.org/officeDocument/2006/relationships/hyperlink" Target="https://connect.garmin.com/app/activity/4421499539" TargetMode="External"/><Relationship Id="rId785" Type="http://schemas.openxmlformats.org/officeDocument/2006/relationships/hyperlink" Target="https://yamap.com/activities/27974725" TargetMode="External"/><Relationship Id="rId200" Type="http://schemas.openxmlformats.org/officeDocument/2006/relationships/hyperlink" Target="https://connect.garmin.com/app/activity/24086262554" TargetMode="External"/><Relationship Id="rId438" Type="http://schemas.openxmlformats.org/officeDocument/2006/relationships/hyperlink" Target="https://yamap.com/activities/40166960" TargetMode="External"/><Relationship Id="rId645" Type="http://schemas.openxmlformats.org/officeDocument/2006/relationships/hyperlink" Target="https://yamap.com/activities/15195627" TargetMode="External"/><Relationship Id="rId852" Type="http://schemas.openxmlformats.org/officeDocument/2006/relationships/hyperlink" Target="https://yamap.com/activities/37350604" TargetMode="External"/><Relationship Id="rId284" Type="http://schemas.openxmlformats.org/officeDocument/2006/relationships/hyperlink" Target="https://connect.garmin.com/app/activity/888063392" TargetMode="External"/><Relationship Id="rId491" Type="http://schemas.openxmlformats.org/officeDocument/2006/relationships/hyperlink" Target="https://connect.garmin.com/app/activity/2592712783" TargetMode="External"/><Relationship Id="rId505" Type="http://schemas.openxmlformats.org/officeDocument/2006/relationships/hyperlink" Target="https://connect.garmin.com/app/activity/2834269999" TargetMode="External"/><Relationship Id="rId712" Type="http://schemas.openxmlformats.org/officeDocument/2006/relationships/hyperlink" Target="https://yamap.com/activities/19760119" TargetMode="External"/><Relationship Id="rId79" Type="http://schemas.openxmlformats.org/officeDocument/2006/relationships/hyperlink" Target="https://connect.garmin.com/app/activity/24056339261" TargetMode="External"/><Relationship Id="rId144" Type="http://schemas.openxmlformats.org/officeDocument/2006/relationships/hyperlink" Target="https://connect.garmin.com/app/activity/24079375511" TargetMode="External"/><Relationship Id="rId589" Type="http://schemas.openxmlformats.org/officeDocument/2006/relationships/hyperlink" Target="https://yamap.com/activities/9723220" TargetMode="External"/><Relationship Id="rId796" Type="http://schemas.openxmlformats.org/officeDocument/2006/relationships/hyperlink" Target="https://yamap.com/activities/30005964" TargetMode="External"/><Relationship Id="rId351" Type="http://schemas.openxmlformats.org/officeDocument/2006/relationships/hyperlink" Target="https://yamap.com/activities/37090539" TargetMode="External"/><Relationship Id="rId449" Type="http://schemas.openxmlformats.org/officeDocument/2006/relationships/hyperlink" Target="https://connect.garmin.com/app/activity/1815223433" TargetMode="External"/><Relationship Id="rId656" Type="http://schemas.openxmlformats.org/officeDocument/2006/relationships/hyperlink" Target="https://yamap.com/activities/15824385" TargetMode="External"/><Relationship Id="rId863" Type="http://schemas.openxmlformats.org/officeDocument/2006/relationships/hyperlink" Target="https://yamap.com/activities/38667544" TargetMode="External"/><Relationship Id="rId211" Type="http://schemas.openxmlformats.org/officeDocument/2006/relationships/hyperlink" Target="https://connect.garmin.com/app/activity/345673639" TargetMode="External"/><Relationship Id="rId295" Type="http://schemas.openxmlformats.org/officeDocument/2006/relationships/hyperlink" Target="https://connect.garmin.com/app/activity/888063975" TargetMode="External"/><Relationship Id="rId309" Type="http://schemas.openxmlformats.org/officeDocument/2006/relationships/hyperlink" Target="https://connect.garmin.com/app/activity/888064744" TargetMode="External"/><Relationship Id="rId516" Type="http://schemas.openxmlformats.org/officeDocument/2006/relationships/hyperlink" Target="https://connect.garmin.com/app/activity/3017884472" TargetMode="External"/><Relationship Id="rId723" Type="http://schemas.openxmlformats.org/officeDocument/2006/relationships/hyperlink" Target="https://yamap.com/activities/20831743" TargetMode="External"/><Relationship Id="rId930" Type="http://schemas.openxmlformats.org/officeDocument/2006/relationships/hyperlink" Target="https://yamap.com/activities/44138676" TargetMode="External"/><Relationship Id="rId155" Type="http://schemas.openxmlformats.org/officeDocument/2006/relationships/hyperlink" Target="https://connect.garmin.com/app/activity/24079610537" TargetMode="External"/><Relationship Id="rId362" Type="http://schemas.openxmlformats.org/officeDocument/2006/relationships/hyperlink" Target="https://connect.garmin.com/app/activity/986163146" TargetMode="External"/><Relationship Id="rId222" Type="http://schemas.openxmlformats.org/officeDocument/2006/relationships/hyperlink" Target="https://connect.garmin.com/app/activity/432039774" TargetMode="External"/><Relationship Id="rId667" Type="http://schemas.openxmlformats.org/officeDocument/2006/relationships/hyperlink" Target="https://yamap.com/activities/16337411" TargetMode="External"/><Relationship Id="rId874" Type="http://schemas.openxmlformats.org/officeDocument/2006/relationships/hyperlink" Target="https://yamap.com/activities/39177870" TargetMode="External"/><Relationship Id="rId17" Type="http://schemas.openxmlformats.org/officeDocument/2006/relationships/hyperlink" Target="https://connect.garmin.com/app/activity/24048774048" TargetMode="External"/><Relationship Id="rId527" Type="http://schemas.openxmlformats.org/officeDocument/2006/relationships/hyperlink" Target="https://connect.garmin.com/app/activity/3179865649" TargetMode="External"/><Relationship Id="rId734" Type="http://schemas.openxmlformats.org/officeDocument/2006/relationships/hyperlink" Target="https://yamap.com/activities/22127533" TargetMode="External"/><Relationship Id="rId941" Type="http://schemas.openxmlformats.org/officeDocument/2006/relationships/hyperlink" Target="https://yamap.com/activities/44459330" TargetMode="External"/><Relationship Id="rId70" Type="http://schemas.openxmlformats.org/officeDocument/2006/relationships/hyperlink" Target="https://connect.garmin.com/app/activity/24056141114" TargetMode="External"/><Relationship Id="rId166" Type="http://schemas.openxmlformats.org/officeDocument/2006/relationships/hyperlink" Target="https://connect.garmin.com/app/activity/24083755904" TargetMode="External"/><Relationship Id="rId373" Type="http://schemas.openxmlformats.org/officeDocument/2006/relationships/hyperlink" Target="https://connect.garmin.com/app/activity/1040662835" TargetMode="External"/><Relationship Id="rId580" Type="http://schemas.openxmlformats.org/officeDocument/2006/relationships/hyperlink" Target="https://connect.garmin.com/app/activity/4472679489" TargetMode="External"/><Relationship Id="rId801" Type="http://schemas.openxmlformats.org/officeDocument/2006/relationships/hyperlink" Target="https://yamap.com/activities/30390742" TargetMode="External"/><Relationship Id="rId1" Type="http://schemas.openxmlformats.org/officeDocument/2006/relationships/hyperlink" Target="https://connect.garmin.com/app/activity/24047164461" TargetMode="External"/><Relationship Id="rId233" Type="http://schemas.openxmlformats.org/officeDocument/2006/relationships/hyperlink" Target="https://connect.garmin.com/app/activity/432039718" TargetMode="External"/><Relationship Id="rId440" Type="http://schemas.openxmlformats.org/officeDocument/2006/relationships/hyperlink" Target="https://connect.garmin.com/app/activity/1718837105" TargetMode="External"/><Relationship Id="rId678" Type="http://schemas.openxmlformats.org/officeDocument/2006/relationships/hyperlink" Target="https://yamap.com/activities/17033333" TargetMode="External"/><Relationship Id="rId885" Type="http://schemas.openxmlformats.org/officeDocument/2006/relationships/hyperlink" Target="https://yamap.com/activities/40127452" TargetMode="External"/><Relationship Id="rId28" Type="http://schemas.openxmlformats.org/officeDocument/2006/relationships/hyperlink" Target="https://connect.garmin.com/app/activity/24049368728" TargetMode="External"/><Relationship Id="rId300" Type="http://schemas.openxmlformats.org/officeDocument/2006/relationships/hyperlink" Target="https://connect.garmin.com/app/activity/888064434" TargetMode="External"/><Relationship Id="rId538" Type="http://schemas.openxmlformats.org/officeDocument/2006/relationships/hyperlink" Target="https://connect.garmin.com/app/activity/3383330654" TargetMode="External"/><Relationship Id="rId745" Type="http://schemas.openxmlformats.org/officeDocument/2006/relationships/hyperlink" Target="https://yamap.com/activities/23182862" TargetMode="External"/><Relationship Id="rId952" Type="http://schemas.openxmlformats.org/officeDocument/2006/relationships/hyperlink" Target="https://yamap.com/activities/45288354" TargetMode="External"/><Relationship Id="rId81" Type="http://schemas.openxmlformats.org/officeDocument/2006/relationships/hyperlink" Target="https://connect.garmin.com/app/activity/24056365105" TargetMode="External"/><Relationship Id="rId177" Type="http://schemas.openxmlformats.org/officeDocument/2006/relationships/hyperlink" Target="https://connect.garmin.com/app/activity/24084314069" TargetMode="External"/><Relationship Id="rId384" Type="http://schemas.openxmlformats.org/officeDocument/2006/relationships/hyperlink" Target="https://connect.garmin.com/app/activity/1112274578" TargetMode="External"/><Relationship Id="rId591" Type="http://schemas.openxmlformats.org/officeDocument/2006/relationships/hyperlink" Target="https://yamap.com/activities/9836913" TargetMode="External"/><Relationship Id="rId605" Type="http://schemas.openxmlformats.org/officeDocument/2006/relationships/hyperlink" Target="https://yamap.com/activities/12029522" TargetMode="External"/><Relationship Id="rId812" Type="http://schemas.openxmlformats.org/officeDocument/2006/relationships/hyperlink" Target="https://yamap.com/activities/31139646" TargetMode="External"/><Relationship Id="rId244" Type="http://schemas.openxmlformats.org/officeDocument/2006/relationships/hyperlink" Target="https://connect.garmin.com/app/activity/432045189" TargetMode="External"/><Relationship Id="rId689" Type="http://schemas.openxmlformats.org/officeDocument/2006/relationships/hyperlink" Target="https://yamap.com/activities/17958557" TargetMode="External"/><Relationship Id="rId896" Type="http://schemas.openxmlformats.org/officeDocument/2006/relationships/hyperlink" Target="https://yamap.com/activities/40833699" TargetMode="External"/><Relationship Id="rId39" Type="http://schemas.openxmlformats.org/officeDocument/2006/relationships/hyperlink" Target="https://connect.garmin.com/app/activity/24049972075" TargetMode="External"/><Relationship Id="rId451" Type="http://schemas.openxmlformats.org/officeDocument/2006/relationships/hyperlink" Target="https://connect.garmin.com/app/activity/1856736323" TargetMode="External"/><Relationship Id="rId549" Type="http://schemas.openxmlformats.org/officeDocument/2006/relationships/hyperlink" Target="https://connect.garmin.com/app/activity/3610786622" TargetMode="External"/><Relationship Id="rId756" Type="http://schemas.openxmlformats.org/officeDocument/2006/relationships/hyperlink" Target="https://yamap.com/activities/24308814" TargetMode="External"/><Relationship Id="rId104" Type="http://schemas.openxmlformats.org/officeDocument/2006/relationships/hyperlink" Target="https://connect.garmin.com/app/activity/24218820582" TargetMode="External"/><Relationship Id="rId188" Type="http://schemas.openxmlformats.org/officeDocument/2006/relationships/hyperlink" Target="https://connect.garmin.com/app/activity/24079758504" TargetMode="External"/><Relationship Id="rId311" Type="http://schemas.openxmlformats.org/officeDocument/2006/relationships/hyperlink" Target="https://connect.garmin.com/app/activity/888064878" TargetMode="External"/><Relationship Id="rId395" Type="http://schemas.openxmlformats.org/officeDocument/2006/relationships/hyperlink" Target="https://connect.garmin.com/app/activity/1199035993" TargetMode="External"/><Relationship Id="rId409" Type="http://schemas.openxmlformats.org/officeDocument/2006/relationships/hyperlink" Target="https://connect.garmin.com/app/activity/1377779085" TargetMode="External"/><Relationship Id="rId963" Type="http://schemas.openxmlformats.org/officeDocument/2006/relationships/hyperlink" Target="https://yamap.com/activities/46509630" TargetMode="External"/><Relationship Id="rId92" Type="http://schemas.openxmlformats.org/officeDocument/2006/relationships/hyperlink" Target="https://connect.garmin.com/app/activity/24059886769" TargetMode="External"/><Relationship Id="rId616" Type="http://schemas.openxmlformats.org/officeDocument/2006/relationships/hyperlink" Target="https://yamap.com/activities/13407550" TargetMode="External"/><Relationship Id="rId823" Type="http://schemas.openxmlformats.org/officeDocument/2006/relationships/hyperlink" Target="https://yamap.com/activities/32175817" TargetMode="External"/><Relationship Id="rId255" Type="http://schemas.openxmlformats.org/officeDocument/2006/relationships/hyperlink" Target="https://connect.garmin.com/app/activity/888061491" TargetMode="External"/><Relationship Id="rId462" Type="http://schemas.openxmlformats.org/officeDocument/2006/relationships/hyperlink" Target="https://connect.garmin.com/app/activity/2212978499" TargetMode="External"/><Relationship Id="rId115" Type="http://schemas.openxmlformats.org/officeDocument/2006/relationships/hyperlink" Target="https://connect.garmin.com/app/activity/24060825745" TargetMode="External"/><Relationship Id="rId322" Type="http://schemas.openxmlformats.org/officeDocument/2006/relationships/hyperlink" Target="https://connect.garmin.com/app/activity/888065573" TargetMode="External"/><Relationship Id="rId767" Type="http://schemas.openxmlformats.org/officeDocument/2006/relationships/hyperlink" Target="https://yamap.com/activities/25538910" TargetMode="External"/><Relationship Id="rId974" Type="http://schemas.openxmlformats.org/officeDocument/2006/relationships/hyperlink" Target="https://yamap.com/activities/47933652" TargetMode="External"/><Relationship Id="rId199" Type="http://schemas.openxmlformats.org/officeDocument/2006/relationships/hyperlink" Target="https://connect.garmin.com/app/activity/24086181392" TargetMode="External"/><Relationship Id="rId627" Type="http://schemas.openxmlformats.org/officeDocument/2006/relationships/hyperlink" Target="https://yamap.com/activities/14260750" TargetMode="External"/><Relationship Id="rId834" Type="http://schemas.openxmlformats.org/officeDocument/2006/relationships/hyperlink" Target="https://yamap.com/activities/33992954" TargetMode="External"/><Relationship Id="rId266" Type="http://schemas.openxmlformats.org/officeDocument/2006/relationships/hyperlink" Target="https://connect.garmin.com/app/activity/888062238" TargetMode="External"/><Relationship Id="rId473" Type="http://schemas.openxmlformats.org/officeDocument/2006/relationships/hyperlink" Target="https://connect.garmin.com/app/activity/2373207848" TargetMode="External"/><Relationship Id="rId680" Type="http://schemas.openxmlformats.org/officeDocument/2006/relationships/hyperlink" Target="https://yamap.com/activities/17072904" TargetMode="External"/><Relationship Id="rId901" Type="http://schemas.openxmlformats.org/officeDocument/2006/relationships/hyperlink" Target="https://yamap.com/activities/41252590" TargetMode="External"/><Relationship Id="rId30" Type="http://schemas.openxmlformats.org/officeDocument/2006/relationships/hyperlink" Target="https://connect.garmin.com/app/activity/24049497878" TargetMode="External"/><Relationship Id="rId126" Type="http://schemas.openxmlformats.org/officeDocument/2006/relationships/hyperlink" Target="https://connect.garmin.com/app/activity/24061373083" TargetMode="External"/><Relationship Id="rId333" Type="http://schemas.openxmlformats.org/officeDocument/2006/relationships/hyperlink" Target="https://connect.garmin.com/app/activity/888066270" TargetMode="External"/><Relationship Id="rId540" Type="http://schemas.openxmlformats.org/officeDocument/2006/relationships/hyperlink" Target="https://connect.garmin.com/app/activity/3488881722" TargetMode="External"/><Relationship Id="rId778" Type="http://schemas.openxmlformats.org/officeDocument/2006/relationships/hyperlink" Target="https://yamap.com/activities/27294631" TargetMode="External"/><Relationship Id="rId985" Type="http://schemas.openxmlformats.org/officeDocument/2006/relationships/hyperlink" Target="https://yamap.com/activities/49267036" TargetMode="External"/><Relationship Id="rId72" Type="http://schemas.openxmlformats.org/officeDocument/2006/relationships/hyperlink" Target="https://connect.garmin.com/app/activity/24056191250" TargetMode="External"/><Relationship Id="rId375" Type="http://schemas.openxmlformats.org/officeDocument/2006/relationships/hyperlink" Target="https://connect.garmin.com/app/activity/1053378863" TargetMode="External"/><Relationship Id="rId582" Type="http://schemas.openxmlformats.org/officeDocument/2006/relationships/hyperlink" Target="https://yamap.com/activities/10173918" TargetMode="External"/><Relationship Id="rId638" Type="http://schemas.openxmlformats.org/officeDocument/2006/relationships/hyperlink" Target="https://yamap.com/activities/14850549" TargetMode="External"/><Relationship Id="rId803" Type="http://schemas.openxmlformats.org/officeDocument/2006/relationships/hyperlink" Target="https://yamap.com/activities/30526426" TargetMode="External"/><Relationship Id="rId845" Type="http://schemas.openxmlformats.org/officeDocument/2006/relationships/hyperlink" Target="https://yamap.com/activities/36856366" TargetMode="External"/><Relationship Id="rId3" Type="http://schemas.openxmlformats.org/officeDocument/2006/relationships/hyperlink" Target="https://connect.garmin.com/app/activity/24047443469" TargetMode="External"/><Relationship Id="rId235" Type="http://schemas.openxmlformats.org/officeDocument/2006/relationships/hyperlink" Target="https://connect.garmin.com/app/activity/432044980" TargetMode="External"/><Relationship Id="rId277" Type="http://schemas.openxmlformats.org/officeDocument/2006/relationships/hyperlink" Target="https://connect.garmin.com/app/activity/888062968" TargetMode="External"/><Relationship Id="rId400" Type="http://schemas.openxmlformats.org/officeDocument/2006/relationships/hyperlink" Target="https://connect.garmin.com/app/activity/1261253252" TargetMode="External"/><Relationship Id="rId442" Type="http://schemas.openxmlformats.org/officeDocument/2006/relationships/hyperlink" Target="https://connect.garmin.com/app/activity/1760767534" TargetMode="External"/><Relationship Id="rId484" Type="http://schemas.openxmlformats.org/officeDocument/2006/relationships/hyperlink" Target="https://connect.garmin.com/app/activity/2531067667" TargetMode="External"/><Relationship Id="rId705" Type="http://schemas.openxmlformats.org/officeDocument/2006/relationships/hyperlink" Target="https://yamap.com/activities/19230075" TargetMode="External"/><Relationship Id="rId887" Type="http://schemas.openxmlformats.org/officeDocument/2006/relationships/hyperlink" Target="https://yamap.com/activities/40306675" TargetMode="External"/><Relationship Id="rId137" Type="http://schemas.openxmlformats.org/officeDocument/2006/relationships/hyperlink" Target="https://connect.garmin.com/app/activity/24079258280" TargetMode="External"/><Relationship Id="rId302" Type="http://schemas.openxmlformats.org/officeDocument/2006/relationships/hyperlink" Target="https://connect.garmin.com/app/activity/888064501" TargetMode="External"/><Relationship Id="rId344" Type="http://schemas.openxmlformats.org/officeDocument/2006/relationships/hyperlink" Target="https://connect.garmin.com/app/activity/888066845" TargetMode="External"/><Relationship Id="rId691" Type="http://schemas.openxmlformats.org/officeDocument/2006/relationships/hyperlink" Target="https://yamap.com/activities/18115279" TargetMode="External"/><Relationship Id="rId747" Type="http://schemas.openxmlformats.org/officeDocument/2006/relationships/hyperlink" Target="https://yamap.com/activities/23389464" TargetMode="External"/><Relationship Id="rId789" Type="http://schemas.openxmlformats.org/officeDocument/2006/relationships/hyperlink" Target="https://yamap.com/activities/29319915" TargetMode="External"/><Relationship Id="rId912" Type="http://schemas.openxmlformats.org/officeDocument/2006/relationships/hyperlink" Target="https://yamap.com/activities/42776239" TargetMode="External"/><Relationship Id="rId954" Type="http://schemas.openxmlformats.org/officeDocument/2006/relationships/hyperlink" Target="https://yamap.com/activities/45532706" TargetMode="External"/><Relationship Id="rId41" Type="http://schemas.openxmlformats.org/officeDocument/2006/relationships/hyperlink" Target="https://connect.garmin.com/app/activity/24050093313" TargetMode="External"/><Relationship Id="rId83" Type="http://schemas.openxmlformats.org/officeDocument/2006/relationships/hyperlink" Target="https://connect.garmin.com/app/activity/24056405052" TargetMode="External"/><Relationship Id="rId179" Type="http://schemas.openxmlformats.org/officeDocument/2006/relationships/hyperlink" Target="https://connect.garmin.com/app/activity/24084478264" TargetMode="External"/><Relationship Id="rId386" Type="http://schemas.openxmlformats.org/officeDocument/2006/relationships/hyperlink" Target="https://connect.garmin.com/app/activity/1119813960" TargetMode="External"/><Relationship Id="rId551" Type="http://schemas.openxmlformats.org/officeDocument/2006/relationships/hyperlink" Target="https://connect.garmin.com/app/activity/3641718200" TargetMode="External"/><Relationship Id="rId593" Type="http://schemas.openxmlformats.org/officeDocument/2006/relationships/hyperlink" Target="https://yamap.com/activities/10038385" TargetMode="External"/><Relationship Id="rId607" Type="http://schemas.openxmlformats.org/officeDocument/2006/relationships/hyperlink" Target="https://yamap.com/activities/12160051" TargetMode="External"/><Relationship Id="rId649" Type="http://schemas.openxmlformats.org/officeDocument/2006/relationships/hyperlink" Target="https://yamap.com/activities/15472792" TargetMode="External"/><Relationship Id="rId814" Type="http://schemas.openxmlformats.org/officeDocument/2006/relationships/hyperlink" Target="https://yamap.com/activities/31259036" TargetMode="External"/><Relationship Id="rId856" Type="http://schemas.openxmlformats.org/officeDocument/2006/relationships/hyperlink" Target="https://yamap.com/activities/38172139" TargetMode="External"/><Relationship Id="rId190" Type="http://schemas.openxmlformats.org/officeDocument/2006/relationships/hyperlink" Target="https://connect.garmin.com/app/activity/24085467024" TargetMode="External"/><Relationship Id="rId204" Type="http://schemas.openxmlformats.org/officeDocument/2006/relationships/hyperlink" Target="https://connect.garmin.com/app/activity/24086408892" TargetMode="External"/><Relationship Id="rId246" Type="http://schemas.openxmlformats.org/officeDocument/2006/relationships/hyperlink" Target="https://connect.garmin.com/app/activity/888060967" TargetMode="External"/><Relationship Id="rId288" Type="http://schemas.openxmlformats.org/officeDocument/2006/relationships/hyperlink" Target="https://connect.garmin.com/app/activity/888063565" TargetMode="External"/><Relationship Id="rId411" Type="http://schemas.openxmlformats.org/officeDocument/2006/relationships/hyperlink" Target="https://connect.garmin.com/app/activity/1398790623" TargetMode="External"/><Relationship Id="rId453" Type="http://schemas.openxmlformats.org/officeDocument/2006/relationships/hyperlink" Target="https://connect.garmin.com/app/activity/1870463813" TargetMode="External"/><Relationship Id="rId509" Type="http://schemas.openxmlformats.org/officeDocument/2006/relationships/hyperlink" Target="https://connect.garmin.com/app/activity/2881729518" TargetMode="External"/><Relationship Id="rId660" Type="http://schemas.openxmlformats.org/officeDocument/2006/relationships/hyperlink" Target="https://yamap.com/activities/15995940" TargetMode="External"/><Relationship Id="rId898" Type="http://schemas.openxmlformats.org/officeDocument/2006/relationships/hyperlink" Target="https://yamap.com/activities/40917023" TargetMode="External"/><Relationship Id="rId106" Type="http://schemas.openxmlformats.org/officeDocument/2006/relationships/hyperlink" Target="https://connect.garmin.com/app/activity/24218743724" TargetMode="External"/><Relationship Id="rId313" Type="http://schemas.openxmlformats.org/officeDocument/2006/relationships/hyperlink" Target="https://connect.garmin.com/app/activity/888064952" TargetMode="External"/><Relationship Id="rId495" Type="http://schemas.openxmlformats.org/officeDocument/2006/relationships/hyperlink" Target="https://yamap.com/activities/40145949" TargetMode="External"/><Relationship Id="rId716" Type="http://schemas.openxmlformats.org/officeDocument/2006/relationships/hyperlink" Target="https://yamap.com/activities/20245646" TargetMode="External"/><Relationship Id="rId758" Type="http://schemas.openxmlformats.org/officeDocument/2006/relationships/hyperlink" Target="https://yamap.com/activities/24552856" TargetMode="External"/><Relationship Id="rId923" Type="http://schemas.openxmlformats.org/officeDocument/2006/relationships/hyperlink" Target="https://yamap.com/activities/43774284" TargetMode="External"/><Relationship Id="rId965" Type="http://schemas.openxmlformats.org/officeDocument/2006/relationships/hyperlink" Target="https://yamap.com/activities/46747898" TargetMode="External"/><Relationship Id="rId10" Type="http://schemas.openxmlformats.org/officeDocument/2006/relationships/hyperlink" Target="https://connect.garmin.com/app/activity/24048311847" TargetMode="External"/><Relationship Id="rId52" Type="http://schemas.openxmlformats.org/officeDocument/2006/relationships/hyperlink" Target="https://connect.garmin.com/app/activity/24055815120" TargetMode="External"/><Relationship Id="rId94" Type="http://schemas.openxmlformats.org/officeDocument/2006/relationships/hyperlink" Target="https://connect.garmin.com/app/activity/24060007471" TargetMode="External"/><Relationship Id="rId148" Type="http://schemas.openxmlformats.org/officeDocument/2006/relationships/hyperlink" Target="https://connect.garmin.com/app/activity/24079419266" TargetMode="External"/><Relationship Id="rId355" Type="http://schemas.openxmlformats.org/officeDocument/2006/relationships/hyperlink" Target="https://connect.garmin.com/app/activity/917990917" TargetMode="External"/><Relationship Id="rId397" Type="http://schemas.openxmlformats.org/officeDocument/2006/relationships/hyperlink" Target="https://connect.garmin.com/app/activity/1229473945" TargetMode="External"/><Relationship Id="rId520" Type="http://schemas.openxmlformats.org/officeDocument/2006/relationships/hyperlink" Target="https://connect.garmin.com/app/activity/3103203957" TargetMode="External"/><Relationship Id="rId562" Type="http://schemas.openxmlformats.org/officeDocument/2006/relationships/hyperlink" Target="https://connect.garmin.com/app/activity/4035828945" TargetMode="External"/><Relationship Id="rId618" Type="http://schemas.openxmlformats.org/officeDocument/2006/relationships/hyperlink" Target="https://yamap.com/activities/13493178" TargetMode="External"/><Relationship Id="rId825" Type="http://schemas.openxmlformats.org/officeDocument/2006/relationships/hyperlink" Target="https://yamap.com/activities/32360534" TargetMode="External"/><Relationship Id="rId215" Type="http://schemas.openxmlformats.org/officeDocument/2006/relationships/hyperlink" Target="https://connect.garmin.com/app/activity/438988347" TargetMode="External"/><Relationship Id="rId257" Type="http://schemas.openxmlformats.org/officeDocument/2006/relationships/hyperlink" Target="https://connect.garmin.com/app/activity/888061639" TargetMode="External"/><Relationship Id="rId422" Type="http://schemas.openxmlformats.org/officeDocument/2006/relationships/hyperlink" Target="https://connect.garmin.com/app/activity/1487138775" TargetMode="External"/><Relationship Id="rId464" Type="http://schemas.openxmlformats.org/officeDocument/2006/relationships/hyperlink" Target="https://connect.garmin.com/app/activity/2272369607" TargetMode="External"/><Relationship Id="rId867" Type="http://schemas.openxmlformats.org/officeDocument/2006/relationships/hyperlink" Target="https://yamap.com/activities/38850240" TargetMode="External"/><Relationship Id="rId299" Type="http://schemas.openxmlformats.org/officeDocument/2006/relationships/hyperlink" Target="https://connect.garmin.com/app/activity/888064345" TargetMode="External"/><Relationship Id="rId727" Type="http://schemas.openxmlformats.org/officeDocument/2006/relationships/hyperlink" Target="https://yamap.com/activities/21186470" TargetMode="External"/><Relationship Id="rId934" Type="http://schemas.openxmlformats.org/officeDocument/2006/relationships/hyperlink" Target="https://yamap.com/activities/44258571" TargetMode="External"/><Relationship Id="rId63" Type="http://schemas.openxmlformats.org/officeDocument/2006/relationships/hyperlink" Target="https://connect.garmin.com/app/activity/24055978194" TargetMode="External"/><Relationship Id="rId159" Type="http://schemas.openxmlformats.org/officeDocument/2006/relationships/hyperlink" Target="https://connect.garmin.com/app/activity/24079704694" TargetMode="External"/><Relationship Id="rId366" Type="http://schemas.openxmlformats.org/officeDocument/2006/relationships/hyperlink" Target="https://connect.garmin.com/app/activity/1001341368" TargetMode="External"/><Relationship Id="rId573" Type="http://schemas.openxmlformats.org/officeDocument/2006/relationships/hyperlink" Target="https://connect.garmin.com/app/activity/4298624779" TargetMode="External"/><Relationship Id="rId780" Type="http://schemas.openxmlformats.org/officeDocument/2006/relationships/hyperlink" Target="https://yamap.com/activities/27598638" TargetMode="External"/><Relationship Id="rId226" Type="http://schemas.openxmlformats.org/officeDocument/2006/relationships/hyperlink" Target="https://connect.garmin.com/app/activity/432039818" TargetMode="External"/><Relationship Id="rId433" Type="http://schemas.openxmlformats.org/officeDocument/2006/relationships/hyperlink" Target="https://connect.garmin.com/app/activity/1615791481" TargetMode="External"/><Relationship Id="rId878" Type="http://schemas.openxmlformats.org/officeDocument/2006/relationships/hyperlink" Target="https://yamap.com/activities/39497340" TargetMode="External"/><Relationship Id="rId640" Type="http://schemas.openxmlformats.org/officeDocument/2006/relationships/hyperlink" Target="https://yamap.com/activities/15019774" TargetMode="External"/><Relationship Id="rId738" Type="http://schemas.openxmlformats.org/officeDocument/2006/relationships/hyperlink" Target="https://yamap.com/activities/22579119" TargetMode="External"/><Relationship Id="rId945" Type="http://schemas.openxmlformats.org/officeDocument/2006/relationships/hyperlink" Target="https://yamap.com/activities/44744622" TargetMode="External"/><Relationship Id="rId74" Type="http://schemas.openxmlformats.org/officeDocument/2006/relationships/hyperlink" Target="https://connect.garmin.com/app/activity/24056247425" TargetMode="External"/><Relationship Id="rId377" Type="http://schemas.openxmlformats.org/officeDocument/2006/relationships/hyperlink" Target="https://connect.garmin.com/app/activity/1057789268" TargetMode="External"/><Relationship Id="rId500" Type="http://schemas.openxmlformats.org/officeDocument/2006/relationships/hyperlink" Target="https://connect.garmin.com/app/activity/2729707433" TargetMode="External"/><Relationship Id="rId584" Type="http://schemas.openxmlformats.org/officeDocument/2006/relationships/hyperlink" Target="https://yamap.com/activities/10173874" TargetMode="External"/><Relationship Id="rId805" Type="http://schemas.openxmlformats.org/officeDocument/2006/relationships/hyperlink" Target="https://yamap.com/activities/30644316" TargetMode="External"/><Relationship Id="rId5" Type="http://schemas.openxmlformats.org/officeDocument/2006/relationships/hyperlink" Target="https://connect.garmin.com/app/activity/24047853268" TargetMode="External"/><Relationship Id="rId237" Type="http://schemas.openxmlformats.org/officeDocument/2006/relationships/hyperlink" Target="https://connect.garmin.com/app/activity/432045084" TargetMode="External"/><Relationship Id="rId791" Type="http://schemas.openxmlformats.org/officeDocument/2006/relationships/hyperlink" Target="https://yamap.com/activities/29510810" TargetMode="External"/><Relationship Id="rId889" Type="http://schemas.openxmlformats.org/officeDocument/2006/relationships/hyperlink" Target="https://yamap.com/activities/40416861" TargetMode="External"/><Relationship Id="rId444" Type="http://schemas.openxmlformats.org/officeDocument/2006/relationships/hyperlink" Target="https://connect.garmin.com/app/activity/1776680663" TargetMode="External"/><Relationship Id="rId651" Type="http://schemas.openxmlformats.org/officeDocument/2006/relationships/hyperlink" Target="https://yamap.com/activities/15558021" TargetMode="External"/><Relationship Id="rId749" Type="http://schemas.openxmlformats.org/officeDocument/2006/relationships/hyperlink" Target="https://yamap.com/activities/23444506" TargetMode="External"/><Relationship Id="rId290" Type="http://schemas.openxmlformats.org/officeDocument/2006/relationships/hyperlink" Target="https://connect.garmin.com/app/activity/888063731" TargetMode="External"/><Relationship Id="rId304" Type="http://schemas.openxmlformats.org/officeDocument/2006/relationships/hyperlink" Target="https://connect.garmin.com/app/activity/888064546" TargetMode="External"/><Relationship Id="rId388" Type="http://schemas.openxmlformats.org/officeDocument/2006/relationships/hyperlink" Target="https://connect.garmin.com/app/activity/1148927427" TargetMode="External"/><Relationship Id="rId511" Type="http://schemas.openxmlformats.org/officeDocument/2006/relationships/hyperlink" Target="https://yamap.com/activities/40127456" TargetMode="External"/><Relationship Id="rId609" Type="http://schemas.openxmlformats.org/officeDocument/2006/relationships/hyperlink" Target="https://yamap.com/activities/12267522" TargetMode="External"/><Relationship Id="rId956" Type="http://schemas.openxmlformats.org/officeDocument/2006/relationships/hyperlink" Target="https://yamap.com/activities/45878501" TargetMode="External"/><Relationship Id="rId85" Type="http://schemas.openxmlformats.org/officeDocument/2006/relationships/hyperlink" Target="https://connect.garmin.com/app/activity/24056432166" TargetMode="External"/><Relationship Id="rId150" Type="http://schemas.openxmlformats.org/officeDocument/2006/relationships/hyperlink" Target="https://connect.garmin.com/app/activity/24079475728" TargetMode="External"/><Relationship Id="rId595" Type="http://schemas.openxmlformats.org/officeDocument/2006/relationships/hyperlink" Target="https://yamap.com/activities/10242832" TargetMode="External"/><Relationship Id="rId816" Type="http://schemas.openxmlformats.org/officeDocument/2006/relationships/hyperlink" Target="https://yamap.com/activities/31460982" TargetMode="External"/><Relationship Id="rId248" Type="http://schemas.openxmlformats.org/officeDocument/2006/relationships/hyperlink" Target="https://connect.garmin.com/app/activity/888061006" TargetMode="External"/><Relationship Id="rId455" Type="http://schemas.openxmlformats.org/officeDocument/2006/relationships/hyperlink" Target="https://connect.garmin.com/app/activity/1898498213" TargetMode="External"/><Relationship Id="rId662" Type="http://schemas.openxmlformats.org/officeDocument/2006/relationships/hyperlink" Target="https://yamap.com/activities/16138585" TargetMode="External"/><Relationship Id="rId12" Type="http://schemas.openxmlformats.org/officeDocument/2006/relationships/hyperlink" Target="https://connect.garmin.com/app/activity/24109424927" TargetMode="External"/><Relationship Id="rId108" Type="http://schemas.openxmlformats.org/officeDocument/2006/relationships/hyperlink" Target="https://connect.garmin.com/app/activity/24060488061" TargetMode="External"/><Relationship Id="rId315" Type="http://schemas.openxmlformats.org/officeDocument/2006/relationships/hyperlink" Target="https://connect.garmin.com/app/activity/888065113" TargetMode="External"/><Relationship Id="rId522" Type="http://schemas.openxmlformats.org/officeDocument/2006/relationships/hyperlink" Target="https://connect.garmin.com/app/activity/3126044194" TargetMode="External"/><Relationship Id="rId967" Type="http://schemas.openxmlformats.org/officeDocument/2006/relationships/hyperlink" Target="https://yamap.com/activities/46935187" TargetMode="External"/><Relationship Id="rId96" Type="http://schemas.openxmlformats.org/officeDocument/2006/relationships/hyperlink" Target="https://yamap.com/activities/37090374" TargetMode="External"/><Relationship Id="rId161" Type="http://schemas.openxmlformats.org/officeDocument/2006/relationships/hyperlink" Target="https://connect.garmin.com/app/activity/24079736326" TargetMode="External"/><Relationship Id="rId399" Type="http://schemas.openxmlformats.org/officeDocument/2006/relationships/hyperlink" Target="https://connect.garmin.com/app/activity/1261253177" TargetMode="External"/><Relationship Id="rId827" Type="http://schemas.openxmlformats.org/officeDocument/2006/relationships/hyperlink" Target="https://yamap.com/activities/32951595" TargetMode="External"/><Relationship Id="rId259" Type="http://schemas.openxmlformats.org/officeDocument/2006/relationships/hyperlink" Target="https://connect.garmin.com/app/activity/888061849" TargetMode="External"/><Relationship Id="rId466" Type="http://schemas.openxmlformats.org/officeDocument/2006/relationships/hyperlink" Target="https://connect.garmin.com/app/activity/2290428645" TargetMode="External"/><Relationship Id="rId673" Type="http://schemas.openxmlformats.org/officeDocument/2006/relationships/hyperlink" Target="https://yamap.com/activities/16697331" TargetMode="External"/><Relationship Id="rId880" Type="http://schemas.openxmlformats.org/officeDocument/2006/relationships/hyperlink" Target="https://yamap.com/activities/39830635" TargetMode="External"/><Relationship Id="rId23" Type="http://schemas.openxmlformats.org/officeDocument/2006/relationships/hyperlink" Target="https://connect.garmin.com/app/activity/24049043673" TargetMode="External"/><Relationship Id="rId119" Type="http://schemas.openxmlformats.org/officeDocument/2006/relationships/hyperlink" Target="https://connect.garmin.com/app/activity/24061039005" TargetMode="External"/><Relationship Id="rId326" Type="http://schemas.openxmlformats.org/officeDocument/2006/relationships/hyperlink" Target="https://connect.garmin.com/app/activity/888065781" TargetMode="External"/><Relationship Id="rId533" Type="http://schemas.openxmlformats.org/officeDocument/2006/relationships/hyperlink" Target="https://connect.garmin.com/app/activity/3298630181" TargetMode="External"/><Relationship Id="rId978" Type="http://schemas.openxmlformats.org/officeDocument/2006/relationships/hyperlink" Target="https://yamap.com/activities/48243611" TargetMode="External"/><Relationship Id="rId740" Type="http://schemas.openxmlformats.org/officeDocument/2006/relationships/hyperlink" Target="https://yamap.com/activities/22908740" TargetMode="External"/><Relationship Id="rId838" Type="http://schemas.openxmlformats.org/officeDocument/2006/relationships/hyperlink" Target="https://yamap.com/activities/34763714" TargetMode="External"/><Relationship Id="rId172" Type="http://schemas.openxmlformats.org/officeDocument/2006/relationships/hyperlink" Target="https://connect.garmin.com/app/activity/24084084340" TargetMode="External"/><Relationship Id="rId477" Type="http://schemas.openxmlformats.org/officeDocument/2006/relationships/hyperlink" Target="https://connect.garmin.com/app/activity/24092196050" TargetMode="External"/><Relationship Id="rId600" Type="http://schemas.openxmlformats.org/officeDocument/2006/relationships/hyperlink" Target="https://yamap.com/activities/11547026" TargetMode="External"/><Relationship Id="rId684" Type="http://schemas.openxmlformats.org/officeDocument/2006/relationships/hyperlink" Target="https://yamap.com/activities/17451642" TargetMode="External"/><Relationship Id="rId337" Type="http://schemas.openxmlformats.org/officeDocument/2006/relationships/hyperlink" Target="https://connect.garmin.com/app/activity/888066471" TargetMode="External"/><Relationship Id="rId891" Type="http://schemas.openxmlformats.org/officeDocument/2006/relationships/hyperlink" Target="https://yamap.com/activities/40496987" TargetMode="External"/><Relationship Id="rId905" Type="http://schemas.openxmlformats.org/officeDocument/2006/relationships/hyperlink" Target="https://yamap.com/activities/41476361" TargetMode="External"/><Relationship Id="rId989" Type="http://schemas.openxmlformats.org/officeDocument/2006/relationships/hyperlink" Target="https://yamap.com/activities/49929516" TargetMode="External"/><Relationship Id="rId34" Type="http://schemas.openxmlformats.org/officeDocument/2006/relationships/hyperlink" Target="https://connect.garmin.com/app/activity/24049666304" TargetMode="External"/><Relationship Id="rId544" Type="http://schemas.openxmlformats.org/officeDocument/2006/relationships/hyperlink" Target="https://connect.garmin.com/app/activity/3553430934" TargetMode="External"/><Relationship Id="rId751" Type="http://schemas.openxmlformats.org/officeDocument/2006/relationships/hyperlink" Target="https://yamap.com/activities/23844410" TargetMode="External"/><Relationship Id="rId849" Type="http://schemas.openxmlformats.org/officeDocument/2006/relationships/hyperlink" Target="https://yamap.com/activities/37141281" TargetMode="External"/><Relationship Id="rId183" Type="http://schemas.openxmlformats.org/officeDocument/2006/relationships/hyperlink" Target="https://connect.garmin.com/app/activity/24084851818" TargetMode="External"/><Relationship Id="rId390" Type="http://schemas.openxmlformats.org/officeDocument/2006/relationships/hyperlink" Target="https://yamap.com/activities/37090746" TargetMode="External"/><Relationship Id="rId404" Type="http://schemas.openxmlformats.org/officeDocument/2006/relationships/hyperlink" Target="https://connect.garmin.com/app/activity/1313470369" TargetMode="External"/><Relationship Id="rId611" Type="http://schemas.openxmlformats.org/officeDocument/2006/relationships/hyperlink" Target="https://yamap.com/activities/12339953" TargetMode="External"/><Relationship Id="rId250" Type="http://schemas.openxmlformats.org/officeDocument/2006/relationships/hyperlink" Target="https://connect.garmin.com/app/activity/888061173" TargetMode="External"/><Relationship Id="rId488" Type="http://schemas.openxmlformats.org/officeDocument/2006/relationships/hyperlink" Target="https://connect.garmin.com/app/activity/2562481392" TargetMode="External"/><Relationship Id="rId695" Type="http://schemas.openxmlformats.org/officeDocument/2006/relationships/hyperlink" Target="https://yamap.com/activities/18345261" TargetMode="External"/><Relationship Id="rId709" Type="http://schemas.openxmlformats.org/officeDocument/2006/relationships/hyperlink" Target="https://yamap.com/activities/19382856" TargetMode="External"/><Relationship Id="rId916" Type="http://schemas.openxmlformats.org/officeDocument/2006/relationships/hyperlink" Target="https://yamap.com/activities/43033509" TargetMode="External"/><Relationship Id="rId45" Type="http://schemas.openxmlformats.org/officeDocument/2006/relationships/hyperlink" Target="https://connect.garmin.com/app/activity/24050351285" TargetMode="External"/><Relationship Id="rId110" Type="http://schemas.openxmlformats.org/officeDocument/2006/relationships/hyperlink" Target="https://connect.garmin.com/app/activity/24060588736" TargetMode="External"/><Relationship Id="rId348" Type="http://schemas.openxmlformats.org/officeDocument/2006/relationships/hyperlink" Target="https://connect.garmin.com/app/activity/888066978" TargetMode="External"/><Relationship Id="rId555" Type="http://schemas.openxmlformats.org/officeDocument/2006/relationships/hyperlink" Target="https://connect.garmin.com/app/activity/3752974529" TargetMode="External"/><Relationship Id="rId762" Type="http://schemas.openxmlformats.org/officeDocument/2006/relationships/hyperlink" Target="https://yamap.com/activities/24929619" TargetMode="External"/><Relationship Id="rId194" Type="http://schemas.openxmlformats.org/officeDocument/2006/relationships/hyperlink" Target="https://connect.garmin.com/app/activity/24085911129" TargetMode="External"/><Relationship Id="rId208" Type="http://schemas.openxmlformats.org/officeDocument/2006/relationships/hyperlink" Target="https://connect.garmin.com/app/activity/345322984" TargetMode="External"/><Relationship Id="rId415" Type="http://schemas.openxmlformats.org/officeDocument/2006/relationships/hyperlink" Target="https://connect.garmin.com/app/activity/1443823985" TargetMode="External"/><Relationship Id="rId622" Type="http://schemas.openxmlformats.org/officeDocument/2006/relationships/hyperlink" Target="https://yamap.com/activities/13849622" TargetMode="External"/><Relationship Id="rId261" Type="http://schemas.openxmlformats.org/officeDocument/2006/relationships/hyperlink" Target="https://connect.garmin.com/app/activity/888061996" TargetMode="External"/><Relationship Id="rId499" Type="http://schemas.openxmlformats.org/officeDocument/2006/relationships/hyperlink" Target="https://connect.garmin.com/app/activity/2692276474" TargetMode="External"/><Relationship Id="rId927" Type="http://schemas.openxmlformats.org/officeDocument/2006/relationships/hyperlink" Target="https://yamap.com/activities/43954270" TargetMode="External"/><Relationship Id="rId56" Type="http://schemas.openxmlformats.org/officeDocument/2006/relationships/hyperlink" Target="https://connect.garmin.com/app/activity/24055882114" TargetMode="External"/><Relationship Id="rId359" Type="http://schemas.openxmlformats.org/officeDocument/2006/relationships/hyperlink" Target="https://connect.garmin.com/app/activity/961959438" TargetMode="External"/><Relationship Id="rId566" Type="http://schemas.openxmlformats.org/officeDocument/2006/relationships/hyperlink" Target="https://connect.garmin.com/app/activity/4211915036" TargetMode="External"/><Relationship Id="rId773" Type="http://schemas.openxmlformats.org/officeDocument/2006/relationships/hyperlink" Target="https://yamap.com/activities/25974457" TargetMode="External"/><Relationship Id="rId121" Type="http://schemas.openxmlformats.org/officeDocument/2006/relationships/hyperlink" Target="https://connect.garmin.com/app/activity/24061115511" TargetMode="External"/><Relationship Id="rId219" Type="http://schemas.openxmlformats.org/officeDocument/2006/relationships/hyperlink" Target="https://connect.garmin.com/app/activity/432039834" TargetMode="External"/><Relationship Id="rId426" Type="http://schemas.openxmlformats.org/officeDocument/2006/relationships/hyperlink" Target="https://connect.garmin.com/app/activity/1524099749" TargetMode="External"/><Relationship Id="rId633" Type="http://schemas.openxmlformats.org/officeDocument/2006/relationships/hyperlink" Target="https://yamap.com/activities/14636178" TargetMode="External"/><Relationship Id="rId980" Type="http://schemas.openxmlformats.org/officeDocument/2006/relationships/hyperlink" Target="https://yamap.com/activities/48423045" TargetMode="External"/><Relationship Id="rId840" Type="http://schemas.openxmlformats.org/officeDocument/2006/relationships/hyperlink" Target="https://yamap.com/activities/35110959" TargetMode="External"/><Relationship Id="rId938" Type="http://schemas.openxmlformats.org/officeDocument/2006/relationships/hyperlink" Target="https://yamap.com/activities/44289367" TargetMode="External"/><Relationship Id="rId67" Type="http://schemas.openxmlformats.org/officeDocument/2006/relationships/hyperlink" Target="https://connect.garmin.com/app/activity/24056102272" TargetMode="External"/><Relationship Id="rId272" Type="http://schemas.openxmlformats.org/officeDocument/2006/relationships/hyperlink" Target="https://connect.garmin.com/app/activity/888062688" TargetMode="External"/><Relationship Id="rId577" Type="http://schemas.openxmlformats.org/officeDocument/2006/relationships/hyperlink" Target="https://connect.garmin.com/app/activity/4353563430" TargetMode="External"/><Relationship Id="rId700" Type="http://schemas.openxmlformats.org/officeDocument/2006/relationships/hyperlink" Target="https://yamap.com/activities/18833715" TargetMode="External"/><Relationship Id="rId132" Type="http://schemas.openxmlformats.org/officeDocument/2006/relationships/hyperlink" Target="https://connect.garmin.com/app/activity/24079080433" TargetMode="External"/><Relationship Id="rId784" Type="http://schemas.openxmlformats.org/officeDocument/2006/relationships/hyperlink" Target="https://yamap.com/activities/27917010" TargetMode="External"/><Relationship Id="rId991" Type="http://schemas.openxmlformats.org/officeDocument/2006/relationships/table" Target="../tables/table1.xml"/><Relationship Id="rId437" Type="http://schemas.openxmlformats.org/officeDocument/2006/relationships/hyperlink" Target="https://yamap.com/activities/39989634" TargetMode="External"/><Relationship Id="rId644" Type="http://schemas.openxmlformats.org/officeDocument/2006/relationships/hyperlink" Target="https://yamap.com/activities/15152424" TargetMode="External"/><Relationship Id="rId851" Type="http://schemas.openxmlformats.org/officeDocument/2006/relationships/hyperlink" Target="https://yamap.com/activities/37350710" TargetMode="External"/><Relationship Id="rId283" Type="http://schemas.openxmlformats.org/officeDocument/2006/relationships/hyperlink" Target="https://connect.garmin.com/app/activity/888063339" TargetMode="External"/><Relationship Id="rId490" Type="http://schemas.openxmlformats.org/officeDocument/2006/relationships/hyperlink" Target="https://connect.garmin.com/app/activity/2590309494" TargetMode="External"/><Relationship Id="rId504" Type="http://schemas.openxmlformats.org/officeDocument/2006/relationships/hyperlink" Target="https://connect.garmin.com/app/activity/2816940821" TargetMode="External"/><Relationship Id="rId711" Type="http://schemas.openxmlformats.org/officeDocument/2006/relationships/hyperlink" Target="https://yamap.com/activities/19644875" TargetMode="External"/><Relationship Id="rId949" Type="http://schemas.openxmlformats.org/officeDocument/2006/relationships/hyperlink" Target="https://yamap.com/activities/45027958" TargetMode="External"/><Relationship Id="rId78" Type="http://schemas.openxmlformats.org/officeDocument/2006/relationships/hyperlink" Target="https://connect.garmin.com/app/activity/24056318926" TargetMode="External"/><Relationship Id="rId143" Type="http://schemas.openxmlformats.org/officeDocument/2006/relationships/hyperlink" Target="https://connect.garmin.com/app/activity/24079364150" TargetMode="External"/><Relationship Id="rId350" Type="http://schemas.openxmlformats.org/officeDocument/2006/relationships/hyperlink" Target="https://connect.garmin.com/app/activity/896732360" TargetMode="External"/><Relationship Id="rId588" Type="http://schemas.openxmlformats.org/officeDocument/2006/relationships/hyperlink" Target="https://yamap.com/activities/10173765" TargetMode="External"/><Relationship Id="rId795" Type="http://schemas.openxmlformats.org/officeDocument/2006/relationships/hyperlink" Target="https://yamap.com/activities/29799681" TargetMode="External"/><Relationship Id="rId809" Type="http://schemas.openxmlformats.org/officeDocument/2006/relationships/hyperlink" Target="https://yamap.com/activities/30975948" TargetMode="External"/><Relationship Id="rId9" Type="http://schemas.openxmlformats.org/officeDocument/2006/relationships/hyperlink" Target="https://connect.garmin.com/app/activity/24048174912" TargetMode="External"/><Relationship Id="rId210" Type="http://schemas.openxmlformats.org/officeDocument/2006/relationships/hyperlink" Target="https://connect.garmin.com/app/activity/345322996" TargetMode="External"/><Relationship Id="rId448" Type="http://schemas.openxmlformats.org/officeDocument/2006/relationships/hyperlink" Target="https://connect.garmin.com/app/activity/1803756113" TargetMode="External"/><Relationship Id="rId655" Type="http://schemas.openxmlformats.org/officeDocument/2006/relationships/hyperlink" Target="https://yamap.com/activities/15764205" TargetMode="External"/><Relationship Id="rId862" Type="http://schemas.openxmlformats.org/officeDocument/2006/relationships/hyperlink" Target="https://yamap.com/activities/38660133" TargetMode="External"/><Relationship Id="rId294" Type="http://schemas.openxmlformats.org/officeDocument/2006/relationships/hyperlink" Target="https://connect.garmin.com/app/activity/888063914" TargetMode="External"/><Relationship Id="rId308" Type="http://schemas.openxmlformats.org/officeDocument/2006/relationships/hyperlink" Target="https://connect.garmin.com/app/activity/888064700" TargetMode="External"/><Relationship Id="rId515" Type="http://schemas.openxmlformats.org/officeDocument/2006/relationships/hyperlink" Target="https://connect.garmin.com/app/activity/2999432503" TargetMode="External"/><Relationship Id="rId722" Type="http://schemas.openxmlformats.org/officeDocument/2006/relationships/hyperlink" Target="https://yamap.com/activities/20756364" TargetMode="External"/><Relationship Id="rId89" Type="http://schemas.openxmlformats.org/officeDocument/2006/relationships/hyperlink" Target="https://connect.garmin.com/app/activity/24056697033" TargetMode="External"/><Relationship Id="rId154" Type="http://schemas.openxmlformats.org/officeDocument/2006/relationships/hyperlink" Target="https://connect.garmin.com/app/activity/24079595411" TargetMode="External"/><Relationship Id="rId361" Type="http://schemas.openxmlformats.org/officeDocument/2006/relationships/hyperlink" Target="https://connect.garmin.com/app/activity/974771807" TargetMode="External"/><Relationship Id="rId599" Type="http://schemas.openxmlformats.org/officeDocument/2006/relationships/hyperlink" Target="https://yamap.com/activities/11437420" TargetMode="External"/><Relationship Id="rId459" Type="http://schemas.openxmlformats.org/officeDocument/2006/relationships/hyperlink" Target="https://connect.garmin.com/app/activity/2063378615" TargetMode="External"/><Relationship Id="rId666" Type="http://schemas.openxmlformats.org/officeDocument/2006/relationships/hyperlink" Target="https://yamap.com/activities/16317153" TargetMode="External"/><Relationship Id="rId873" Type="http://schemas.openxmlformats.org/officeDocument/2006/relationships/hyperlink" Target="https://yamap.com/activities/39152789" TargetMode="External"/><Relationship Id="rId16" Type="http://schemas.openxmlformats.org/officeDocument/2006/relationships/hyperlink" Target="https://connect.garmin.com/app/activity/24048712154" TargetMode="External"/><Relationship Id="rId221" Type="http://schemas.openxmlformats.org/officeDocument/2006/relationships/hyperlink" Target="https://connect.garmin.com/app/activity/432039801" TargetMode="External"/><Relationship Id="rId319" Type="http://schemas.openxmlformats.org/officeDocument/2006/relationships/hyperlink" Target="https://connect.garmin.com/app/activity/888065357" TargetMode="External"/><Relationship Id="rId526" Type="http://schemas.openxmlformats.org/officeDocument/2006/relationships/hyperlink" Target="https://connect.garmin.com/app/activity/3171385874" TargetMode="External"/><Relationship Id="rId733" Type="http://schemas.openxmlformats.org/officeDocument/2006/relationships/hyperlink" Target="https://yamap.com/activities/21982648" TargetMode="External"/><Relationship Id="rId940" Type="http://schemas.openxmlformats.org/officeDocument/2006/relationships/hyperlink" Target="https://yamap.com/activities/44434290" TargetMode="External"/><Relationship Id="rId165" Type="http://schemas.openxmlformats.org/officeDocument/2006/relationships/hyperlink" Target="https://connect.garmin.com/app/activity/24079794318" TargetMode="External"/><Relationship Id="rId372" Type="http://schemas.openxmlformats.org/officeDocument/2006/relationships/hyperlink" Target="https://connect.garmin.com/app/activity/1033881556" TargetMode="External"/><Relationship Id="rId677" Type="http://schemas.openxmlformats.org/officeDocument/2006/relationships/hyperlink" Target="https://yamap.com/activities/16964542" TargetMode="External"/><Relationship Id="rId800" Type="http://schemas.openxmlformats.org/officeDocument/2006/relationships/hyperlink" Target="https://yamap.com/activities/30274161" TargetMode="External"/><Relationship Id="rId232" Type="http://schemas.openxmlformats.org/officeDocument/2006/relationships/hyperlink" Target="https://connect.garmin.com/app/activity/432039787" TargetMode="External"/><Relationship Id="rId884" Type="http://schemas.openxmlformats.org/officeDocument/2006/relationships/hyperlink" Target="https://yamap.com/activities/40032679" TargetMode="External"/><Relationship Id="rId27" Type="http://schemas.openxmlformats.org/officeDocument/2006/relationships/hyperlink" Target="https://connect.garmin.com/app/activity/24049318961" TargetMode="External"/><Relationship Id="rId537" Type="http://schemas.openxmlformats.org/officeDocument/2006/relationships/hyperlink" Target="https://connect.garmin.com/app/activity/3383330611" TargetMode="External"/><Relationship Id="rId744" Type="http://schemas.openxmlformats.org/officeDocument/2006/relationships/hyperlink" Target="https://yamap.com/activities/23145274" TargetMode="External"/><Relationship Id="rId951" Type="http://schemas.openxmlformats.org/officeDocument/2006/relationships/hyperlink" Target="https://yamap.com/activities/45221499" TargetMode="External"/><Relationship Id="rId80" Type="http://schemas.openxmlformats.org/officeDocument/2006/relationships/hyperlink" Target="https://yamap.com/activities/37091005" TargetMode="External"/><Relationship Id="rId176" Type="http://schemas.openxmlformats.org/officeDocument/2006/relationships/hyperlink" Target="https://connect.garmin.com/app/activity/24084264642" TargetMode="External"/><Relationship Id="rId383" Type="http://schemas.openxmlformats.org/officeDocument/2006/relationships/hyperlink" Target="https://connect.garmin.com/app/activity/1093310080" TargetMode="External"/><Relationship Id="rId590" Type="http://schemas.openxmlformats.org/officeDocument/2006/relationships/hyperlink" Target="https://yamap.com/activities/9782151" TargetMode="External"/><Relationship Id="rId604" Type="http://schemas.openxmlformats.org/officeDocument/2006/relationships/hyperlink" Target="https://yamap.com/activities/11975774" TargetMode="External"/><Relationship Id="rId811" Type="http://schemas.openxmlformats.org/officeDocument/2006/relationships/hyperlink" Target="https://yamap.com/activities/31113898" TargetMode="External"/><Relationship Id="rId243" Type="http://schemas.openxmlformats.org/officeDocument/2006/relationships/hyperlink" Target="https://connect.garmin.com/app/activity/432045210" TargetMode="External"/><Relationship Id="rId450" Type="http://schemas.openxmlformats.org/officeDocument/2006/relationships/hyperlink" Target="https://connect.garmin.com/app/activity/1854962017" TargetMode="External"/><Relationship Id="rId688" Type="http://schemas.openxmlformats.org/officeDocument/2006/relationships/hyperlink" Target="https://yamap.com/activities/17844211" TargetMode="External"/><Relationship Id="rId895" Type="http://schemas.openxmlformats.org/officeDocument/2006/relationships/hyperlink" Target="https://yamap.com/activities/40833697" TargetMode="External"/><Relationship Id="rId909" Type="http://schemas.openxmlformats.org/officeDocument/2006/relationships/hyperlink" Target="https://yamap.com/activities/41744269" TargetMode="External"/><Relationship Id="rId38" Type="http://schemas.openxmlformats.org/officeDocument/2006/relationships/hyperlink" Target="https://connect.garmin.com/app/activity/24049921338" TargetMode="External"/><Relationship Id="rId103" Type="http://schemas.openxmlformats.org/officeDocument/2006/relationships/hyperlink" Target="https://connect.garmin.com/app/activity/24218883967" TargetMode="External"/><Relationship Id="rId310" Type="http://schemas.openxmlformats.org/officeDocument/2006/relationships/hyperlink" Target="https://connect.garmin.com/app/activity/888064833" TargetMode="External"/><Relationship Id="rId548" Type="http://schemas.openxmlformats.org/officeDocument/2006/relationships/hyperlink" Target="https://connect.garmin.com/app/activity/3607368641" TargetMode="External"/><Relationship Id="rId755" Type="http://schemas.openxmlformats.org/officeDocument/2006/relationships/hyperlink" Target="https://yamap.com/activities/24083318" TargetMode="External"/><Relationship Id="rId962" Type="http://schemas.openxmlformats.org/officeDocument/2006/relationships/hyperlink" Target="https://yamap.com/activities/46450897" TargetMode="External"/><Relationship Id="rId91" Type="http://schemas.openxmlformats.org/officeDocument/2006/relationships/hyperlink" Target="https://connect.garmin.com/app/activity/24059797079" TargetMode="External"/><Relationship Id="rId187" Type="http://schemas.openxmlformats.org/officeDocument/2006/relationships/hyperlink" Target="https://connect.garmin.com/app/activity/24085237819" TargetMode="External"/><Relationship Id="rId394" Type="http://schemas.openxmlformats.org/officeDocument/2006/relationships/hyperlink" Target="https://connect.garmin.com/app/activity/1189233520" TargetMode="External"/><Relationship Id="rId408" Type="http://schemas.openxmlformats.org/officeDocument/2006/relationships/hyperlink" Target="https://connect.garmin.com/app/activity/1365024824" TargetMode="External"/><Relationship Id="rId615" Type="http://schemas.openxmlformats.org/officeDocument/2006/relationships/hyperlink" Target="https://yamap.com/activities/13248236" TargetMode="External"/><Relationship Id="rId822" Type="http://schemas.openxmlformats.org/officeDocument/2006/relationships/hyperlink" Target="https://yamap.com/activities/32067245" TargetMode="External"/><Relationship Id="rId254" Type="http://schemas.openxmlformats.org/officeDocument/2006/relationships/hyperlink" Target="https://connect.garmin.com/app/activity/888061397" TargetMode="External"/><Relationship Id="rId699" Type="http://schemas.openxmlformats.org/officeDocument/2006/relationships/hyperlink" Target="https://yamap.com/activities/18751626" TargetMode="External"/><Relationship Id="rId49" Type="http://schemas.openxmlformats.org/officeDocument/2006/relationships/hyperlink" Target="https://connect.garmin.com/app/activity/24055652487" TargetMode="External"/><Relationship Id="rId114" Type="http://schemas.openxmlformats.org/officeDocument/2006/relationships/hyperlink" Target="https://connect.garmin.com/app/activity/24060808321" TargetMode="External"/><Relationship Id="rId461" Type="http://schemas.openxmlformats.org/officeDocument/2006/relationships/hyperlink" Target="https://connect.garmin.com/app/activity/2071423485" TargetMode="External"/><Relationship Id="rId559" Type="http://schemas.openxmlformats.org/officeDocument/2006/relationships/hyperlink" Target="https://connect.garmin.com/app/activity/3947641272" TargetMode="External"/><Relationship Id="rId766" Type="http://schemas.openxmlformats.org/officeDocument/2006/relationships/hyperlink" Target="https://yamap.com/activities/25270785" TargetMode="External"/><Relationship Id="rId198" Type="http://schemas.openxmlformats.org/officeDocument/2006/relationships/hyperlink" Target="https://connect.garmin.com/app/activity/24086155649" TargetMode="External"/><Relationship Id="rId321" Type="http://schemas.openxmlformats.org/officeDocument/2006/relationships/hyperlink" Target="https://connect.garmin.com/app/activity/888065495" TargetMode="External"/><Relationship Id="rId419" Type="http://schemas.openxmlformats.org/officeDocument/2006/relationships/hyperlink" Target="https://connect.garmin.com/app/activity/1453925564" TargetMode="External"/><Relationship Id="rId626" Type="http://schemas.openxmlformats.org/officeDocument/2006/relationships/hyperlink" Target="https://yamap.com/activities/14159534" TargetMode="External"/><Relationship Id="rId973" Type="http://schemas.openxmlformats.org/officeDocument/2006/relationships/hyperlink" Target="https://yamap.com/activities/47959698" TargetMode="External"/><Relationship Id="rId833" Type="http://schemas.openxmlformats.org/officeDocument/2006/relationships/hyperlink" Target="https://yamap.com/activities/33915699" TargetMode="External"/><Relationship Id="rId265" Type="http://schemas.openxmlformats.org/officeDocument/2006/relationships/hyperlink" Target="https://connect.garmin.com/app/activity/888062195" TargetMode="External"/><Relationship Id="rId472" Type="http://schemas.openxmlformats.org/officeDocument/2006/relationships/hyperlink" Target="https://connect.garmin.com/app/activity/2360619014" TargetMode="External"/><Relationship Id="rId900" Type="http://schemas.openxmlformats.org/officeDocument/2006/relationships/hyperlink" Target="https://yamap.com/activities/41112592" TargetMode="External"/><Relationship Id="rId125" Type="http://schemas.openxmlformats.org/officeDocument/2006/relationships/hyperlink" Target="https://connect.garmin.com/app/activity/24061328123" TargetMode="External"/><Relationship Id="rId332" Type="http://schemas.openxmlformats.org/officeDocument/2006/relationships/hyperlink" Target="https://connect.garmin.com/app/activity/888066235" TargetMode="External"/><Relationship Id="rId777" Type="http://schemas.openxmlformats.org/officeDocument/2006/relationships/hyperlink" Target="https://yamap.com/activities/27023588" TargetMode="External"/><Relationship Id="rId984" Type="http://schemas.openxmlformats.org/officeDocument/2006/relationships/hyperlink" Target="https://yamap.com/activities/49084513" TargetMode="External"/><Relationship Id="rId637" Type="http://schemas.openxmlformats.org/officeDocument/2006/relationships/hyperlink" Target="https://yamap.com/activities/14827144" TargetMode="External"/><Relationship Id="rId844" Type="http://schemas.openxmlformats.org/officeDocument/2006/relationships/hyperlink" Target="https://yamap.com/activities/36793587" TargetMode="External"/><Relationship Id="rId276" Type="http://schemas.openxmlformats.org/officeDocument/2006/relationships/hyperlink" Target="https://connect.garmin.com/app/activity/888062923" TargetMode="External"/><Relationship Id="rId483" Type="http://schemas.openxmlformats.org/officeDocument/2006/relationships/hyperlink" Target="https://connect.garmin.com/app/activity/2517012078" TargetMode="External"/><Relationship Id="rId690" Type="http://schemas.openxmlformats.org/officeDocument/2006/relationships/hyperlink" Target="https://yamap.com/activities/17980648" TargetMode="External"/><Relationship Id="rId704" Type="http://schemas.openxmlformats.org/officeDocument/2006/relationships/hyperlink" Target="https://yamap.com/activities/19230068" TargetMode="External"/><Relationship Id="rId911" Type="http://schemas.openxmlformats.org/officeDocument/2006/relationships/hyperlink" Target="https://yamap.com/activities/42181931" TargetMode="External"/><Relationship Id="rId40" Type="http://schemas.openxmlformats.org/officeDocument/2006/relationships/hyperlink" Target="https://connect.garmin.com/app/activity/24050049632" TargetMode="External"/><Relationship Id="rId136" Type="http://schemas.openxmlformats.org/officeDocument/2006/relationships/hyperlink" Target="https://connect.garmin.com/app/activity/24079232962" TargetMode="External"/><Relationship Id="rId343" Type="http://schemas.openxmlformats.org/officeDocument/2006/relationships/hyperlink" Target="https://connect.garmin.com/app/activity/888066808" TargetMode="External"/><Relationship Id="rId550" Type="http://schemas.openxmlformats.org/officeDocument/2006/relationships/hyperlink" Target="https://connect.garmin.com/app/activity/3613504573" TargetMode="External"/><Relationship Id="rId788" Type="http://schemas.openxmlformats.org/officeDocument/2006/relationships/hyperlink" Target="https://yamap.com/activities/29163576" TargetMode="External"/><Relationship Id="rId203" Type="http://schemas.openxmlformats.org/officeDocument/2006/relationships/hyperlink" Target="https://connect.garmin.com/app/activity/24086316269" TargetMode="External"/><Relationship Id="rId648" Type="http://schemas.openxmlformats.org/officeDocument/2006/relationships/hyperlink" Target="https://yamap.com/activities/15428806" TargetMode="External"/><Relationship Id="rId855" Type="http://schemas.openxmlformats.org/officeDocument/2006/relationships/hyperlink" Target="https://yamap.com/activities/37875896" TargetMode="External"/><Relationship Id="rId287" Type="http://schemas.openxmlformats.org/officeDocument/2006/relationships/hyperlink" Target="https://connect.garmin.com/app/activity/888063496" TargetMode="External"/><Relationship Id="rId410" Type="http://schemas.openxmlformats.org/officeDocument/2006/relationships/hyperlink" Target="https://connect.garmin.com/app/activity/1395848581" TargetMode="External"/><Relationship Id="rId494" Type="http://schemas.openxmlformats.org/officeDocument/2006/relationships/hyperlink" Target="https://yamap.com/activities/40145945" TargetMode="External"/><Relationship Id="rId508" Type="http://schemas.openxmlformats.org/officeDocument/2006/relationships/hyperlink" Target="https://connect.garmin.com/app/activity/2867599907" TargetMode="External"/><Relationship Id="rId715" Type="http://schemas.openxmlformats.org/officeDocument/2006/relationships/hyperlink" Target="https://yamap.com/activities/20087040" TargetMode="External"/><Relationship Id="rId922" Type="http://schemas.openxmlformats.org/officeDocument/2006/relationships/hyperlink" Target="https://yamap.com/activities/43756785" TargetMode="External"/><Relationship Id="rId147" Type="http://schemas.openxmlformats.org/officeDocument/2006/relationships/hyperlink" Target="https://connect.garmin.com/app/activity/24079408970" TargetMode="External"/><Relationship Id="rId354" Type="http://schemas.openxmlformats.org/officeDocument/2006/relationships/hyperlink" Target="https://connect.garmin.com/app/activity/906336654" TargetMode="External"/><Relationship Id="rId799" Type="http://schemas.openxmlformats.org/officeDocument/2006/relationships/hyperlink" Target="https://yamap.com/activities/30249079" TargetMode="External"/><Relationship Id="rId51" Type="http://schemas.openxmlformats.org/officeDocument/2006/relationships/hyperlink" Target="https://connect.garmin.com/app/activity/24055804155" TargetMode="External"/><Relationship Id="rId561" Type="http://schemas.openxmlformats.org/officeDocument/2006/relationships/hyperlink" Target="https://connect.garmin.com/app/activity/4011767977" TargetMode="External"/><Relationship Id="rId659" Type="http://schemas.openxmlformats.org/officeDocument/2006/relationships/hyperlink" Target="https://yamap.com/activities/15981511" TargetMode="External"/><Relationship Id="rId866" Type="http://schemas.openxmlformats.org/officeDocument/2006/relationships/hyperlink" Target="https://yamap.com/activities/38842165" TargetMode="External"/><Relationship Id="rId214" Type="http://schemas.openxmlformats.org/officeDocument/2006/relationships/hyperlink" Target="https://connect.garmin.com/app/activity/432039246" TargetMode="External"/><Relationship Id="rId298" Type="http://schemas.openxmlformats.org/officeDocument/2006/relationships/hyperlink" Target="https://connect.garmin.com/app/activity/888064159" TargetMode="External"/><Relationship Id="rId421" Type="http://schemas.openxmlformats.org/officeDocument/2006/relationships/hyperlink" Target="https://connect.garmin.com/app/activity/1479290186" TargetMode="External"/><Relationship Id="rId519" Type="http://schemas.openxmlformats.org/officeDocument/2006/relationships/hyperlink" Target="https://connect.garmin.com/app/activity/3073814090" TargetMode="External"/><Relationship Id="rId158" Type="http://schemas.openxmlformats.org/officeDocument/2006/relationships/hyperlink" Target="https://connect.garmin.com/app/activity/24079656569" TargetMode="External"/><Relationship Id="rId726" Type="http://schemas.openxmlformats.org/officeDocument/2006/relationships/hyperlink" Target="https://yamap.com/activities/21128562" TargetMode="External"/><Relationship Id="rId933" Type="http://schemas.openxmlformats.org/officeDocument/2006/relationships/hyperlink" Target="https://yamap.com/activities/44252518" TargetMode="External"/><Relationship Id="rId62" Type="http://schemas.openxmlformats.org/officeDocument/2006/relationships/hyperlink" Target="https://connect.garmin.com/app/activity/24220904969" TargetMode="External"/><Relationship Id="rId365" Type="http://schemas.openxmlformats.org/officeDocument/2006/relationships/hyperlink" Target="https://connect.garmin.com/app/activity/998983459" TargetMode="External"/><Relationship Id="rId572" Type="http://schemas.openxmlformats.org/officeDocument/2006/relationships/hyperlink" Target="https://connect.garmin.com/app/activity/4298624752" TargetMode="External"/><Relationship Id="rId225" Type="http://schemas.openxmlformats.org/officeDocument/2006/relationships/hyperlink" Target="https://connect.garmin.com/app/activity/432039784" TargetMode="External"/><Relationship Id="rId432" Type="http://schemas.openxmlformats.org/officeDocument/2006/relationships/hyperlink" Target="https://connect.garmin.com/app/activity/1556787070" TargetMode="External"/><Relationship Id="rId877" Type="http://schemas.openxmlformats.org/officeDocument/2006/relationships/hyperlink" Target="https://yamap.com/activities/39426581" TargetMode="External"/><Relationship Id="rId737" Type="http://schemas.openxmlformats.org/officeDocument/2006/relationships/hyperlink" Target="https://yamap.com/activities/22411301" TargetMode="External"/><Relationship Id="rId944" Type="http://schemas.openxmlformats.org/officeDocument/2006/relationships/hyperlink" Target="https://yamap.com/activities/44744451" TargetMode="External"/><Relationship Id="rId73" Type="http://schemas.openxmlformats.org/officeDocument/2006/relationships/hyperlink" Target="https://connect.garmin.com/app/activity/24056224580" TargetMode="External"/><Relationship Id="rId169" Type="http://schemas.openxmlformats.org/officeDocument/2006/relationships/hyperlink" Target="https://connect.garmin.com/app/activity/24083950907" TargetMode="External"/><Relationship Id="rId376" Type="http://schemas.openxmlformats.org/officeDocument/2006/relationships/hyperlink" Target="https://connect.garmin.com/app/activity/1057605412" TargetMode="External"/><Relationship Id="rId583" Type="http://schemas.openxmlformats.org/officeDocument/2006/relationships/hyperlink" Target="https://yamap.com/activities/10173903" TargetMode="External"/><Relationship Id="rId790" Type="http://schemas.openxmlformats.org/officeDocument/2006/relationships/hyperlink" Target="https://yamap.com/activities/29477413" TargetMode="External"/><Relationship Id="rId804" Type="http://schemas.openxmlformats.org/officeDocument/2006/relationships/hyperlink" Target="https://yamap.com/activities/30634511" TargetMode="External"/><Relationship Id="rId4" Type="http://schemas.openxmlformats.org/officeDocument/2006/relationships/hyperlink" Target="https://connect.garmin.com/app/activity/24047657716" TargetMode="External"/><Relationship Id="rId236" Type="http://schemas.openxmlformats.org/officeDocument/2006/relationships/hyperlink" Target="https://connect.garmin.com/app/activity/432045024" TargetMode="External"/><Relationship Id="rId443" Type="http://schemas.openxmlformats.org/officeDocument/2006/relationships/hyperlink" Target="https://connect.garmin.com/app/activity/1775098082" TargetMode="External"/><Relationship Id="rId650" Type="http://schemas.openxmlformats.org/officeDocument/2006/relationships/hyperlink" Target="https://yamap.com/activities/15535370" TargetMode="External"/><Relationship Id="rId888" Type="http://schemas.openxmlformats.org/officeDocument/2006/relationships/hyperlink" Target="https://yamap.com/activities/40381088" TargetMode="External"/><Relationship Id="rId303" Type="http://schemas.openxmlformats.org/officeDocument/2006/relationships/hyperlink" Target="https://connect.garmin.com/app/activity/888064525" TargetMode="External"/><Relationship Id="rId748" Type="http://schemas.openxmlformats.org/officeDocument/2006/relationships/hyperlink" Target="https://yamap.com/activities/23426034" TargetMode="External"/><Relationship Id="rId955" Type="http://schemas.openxmlformats.org/officeDocument/2006/relationships/hyperlink" Target="https://yamap.com/activities/45787668" TargetMode="External"/><Relationship Id="rId84" Type="http://schemas.openxmlformats.org/officeDocument/2006/relationships/hyperlink" Target="https://connect.garmin.com/app/activity/24056420299" TargetMode="External"/><Relationship Id="rId387" Type="http://schemas.openxmlformats.org/officeDocument/2006/relationships/hyperlink" Target="https://yamap.com/activities/40145940" TargetMode="External"/><Relationship Id="rId510" Type="http://schemas.openxmlformats.org/officeDocument/2006/relationships/hyperlink" Target="https://connect.garmin.com/app/activity/2888459630" TargetMode="External"/><Relationship Id="rId594" Type="http://schemas.openxmlformats.org/officeDocument/2006/relationships/hyperlink" Target="https://yamap.com/activities/10135752" TargetMode="External"/><Relationship Id="rId608" Type="http://schemas.openxmlformats.org/officeDocument/2006/relationships/hyperlink" Target="https://yamap.com/activities/12230188" TargetMode="External"/><Relationship Id="rId815" Type="http://schemas.openxmlformats.org/officeDocument/2006/relationships/hyperlink" Target="https://yamap.com/activities/31366030" TargetMode="External"/><Relationship Id="rId247" Type="http://schemas.openxmlformats.org/officeDocument/2006/relationships/hyperlink" Target="https://connect.garmin.com/app/activity/888060984" TargetMode="External"/><Relationship Id="rId899" Type="http://schemas.openxmlformats.org/officeDocument/2006/relationships/hyperlink" Target="https://yamap.com/activities/41027434" TargetMode="External"/><Relationship Id="rId107" Type="http://schemas.openxmlformats.org/officeDocument/2006/relationships/hyperlink" Target="https://connect.garmin.com/app/activity/24060455048" TargetMode="External"/><Relationship Id="rId454" Type="http://schemas.openxmlformats.org/officeDocument/2006/relationships/hyperlink" Target="https://connect.garmin.com/app/activity/1896010460" TargetMode="External"/><Relationship Id="rId661" Type="http://schemas.openxmlformats.org/officeDocument/2006/relationships/hyperlink" Target="https://yamap.com/activities/16091245" TargetMode="External"/><Relationship Id="rId759" Type="http://schemas.openxmlformats.org/officeDocument/2006/relationships/hyperlink" Target="https://yamap.com/activities/24663246" TargetMode="External"/><Relationship Id="rId966" Type="http://schemas.openxmlformats.org/officeDocument/2006/relationships/hyperlink" Target="https://yamap.com/activities/46891367" TargetMode="External"/><Relationship Id="rId11" Type="http://schemas.openxmlformats.org/officeDocument/2006/relationships/hyperlink" Target="https://connect.garmin.com/app/activity/24048407479" TargetMode="External"/><Relationship Id="rId314" Type="http://schemas.openxmlformats.org/officeDocument/2006/relationships/hyperlink" Target="https://connect.garmin.com/app/activity/888065047" TargetMode="External"/><Relationship Id="rId398" Type="http://schemas.openxmlformats.org/officeDocument/2006/relationships/hyperlink" Target="https://connect.garmin.com/app/activity/1261253103" TargetMode="External"/><Relationship Id="rId521" Type="http://schemas.openxmlformats.org/officeDocument/2006/relationships/hyperlink" Target="https://connect.garmin.com/app/activity/3104929864" TargetMode="External"/><Relationship Id="rId619" Type="http://schemas.openxmlformats.org/officeDocument/2006/relationships/hyperlink" Target="https://yamap.com/activities/13628176" TargetMode="External"/><Relationship Id="rId95" Type="http://schemas.openxmlformats.org/officeDocument/2006/relationships/hyperlink" Target="https://connect.garmin.com/app/activity/24060050942" TargetMode="External"/><Relationship Id="rId160" Type="http://schemas.openxmlformats.org/officeDocument/2006/relationships/hyperlink" Target="https://connect.garmin.com/app/activity/24079492059" TargetMode="External"/><Relationship Id="rId826" Type="http://schemas.openxmlformats.org/officeDocument/2006/relationships/hyperlink" Target="https://yamap.com/activities/32560544" TargetMode="External"/><Relationship Id="rId258" Type="http://schemas.openxmlformats.org/officeDocument/2006/relationships/hyperlink" Target="https://connect.garmin.com/app/activity/888061751" TargetMode="External"/><Relationship Id="rId465" Type="http://schemas.openxmlformats.org/officeDocument/2006/relationships/hyperlink" Target="https://connect.garmin.com/app/activity/2272572554" TargetMode="External"/><Relationship Id="rId672" Type="http://schemas.openxmlformats.org/officeDocument/2006/relationships/hyperlink" Target="https://yamap.com/activities/16671097" TargetMode="External"/><Relationship Id="rId22" Type="http://schemas.openxmlformats.org/officeDocument/2006/relationships/hyperlink" Target="https://connect.garmin.com/app/activity/24048954401" TargetMode="External"/><Relationship Id="rId118" Type="http://schemas.openxmlformats.org/officeDocument/2006/relationships/hyperlink" Target="https://connect.garmin.com/app/activity/24060976821" TargetMode="External"/><Relationship Id="rId325" Type="http://schemas.openxmlformats.org/officeDocument/2006/relationships/hyperlink" Target="https://connect.garmin.com/app/activity/888065734" TargetMode="External"/><Relationship Id="rId532" Type="http://schemas.openxmlformats.org/officeDocument/2006/relationships/hyperlink" Target="https://connect.garmin.com/app/activity/24092502445" TargetMode="External"/><Relationship Id="rId977" Type="http://schemas.openxmlformats.org/officeDocument/2006/relationships/hyperlink" Target="https://yamap.com/activities/48209448" TargetMode="External"/><Relationship Id="rId171" Type="http://schemas.openxmlformats.org/officeDocument/2006/relationships/hyperlink" Target="https://connect.garmin.com/app/activity/24084051365" TargetMode="External"/><Relationship Id="rId837" Type="http://schemas.openxmlformats.org/officeDocument/2006/relationships/hyperlink" Target="https://yamap.com/activities/34620692" TargetMode="External"/><Relationship Id="rId269" Type="http://schemas.openxmlformats.org/officeDocument/2006/relationships/hyperlink" Target="https://connect.garmin.com/app/activity/888062500" TargetMode="External"/><Relationship Id="rId476" Type="http://schemas.openxmlformats.org/officeDocument/2006/relationships/hyperlink" Target="https://connect.garmin.com/app/activity/2401969897" TargetMode="External"/><Relationship Id="rId683" Type="http://schemas.openxmlformats.org/officeDocument/2006/relationships/hyperlink" Target="https://yamap.com/activities/17241475" TargetMode="External"/><Relationship Id="rId890" Type="http://schemas.openxmlformats.org/officeDocument/2006/relationships/hyperlink" Target="https://yamap.com/activities/40482249" TargetMode="External"/><Relationship Id="rId904" Type="http://schemas.openxmlformats.org/officeDocument/2006/relationships/hyperlink" Target="https://yamap.com/activities/41483063" TargetMode="External"/><Relationship Id="rId33" Type="http://schemas.openxmlformats.org/officeDocument/2006/relationships/hyperlink" Target="https://connect.garmin.com/app/activity/24049645040" TargetMode="External"/><Relationship Id="rId129" Type="http://schemas.openxmlformats.org/officeDocument/2006/relationships/hyperlink" Target="https://connect.garmin.com/app/activity/24079019789" TargetMode="External"/><Relationship Id="rId336" Type="http://schemas.openxmlformats.org/officeDocument/2006/relationships/hyperlink" Target="https://connect.garmin.com/app/activity/888066444" TargetMode="External"/><Relationship Id="rId543" Type="http://schemas.openxmlformats.org/officeDocument/2006/relationships/hyperlink" Target="https://connect.garmin.com/app/activity/3538106084" TargetMode="External"/><Relationship Id="rId988" Type="http://schemas.openxmlformats.org/officeDocument/2006/relationships/hyperlink" Target="https://yamap.com/activities/49580047" TargetMode="External"/><Relationship Id="rId182" Type="http://schemas.openxmlformats.org/officeDocument/2006/relationships/hyperlink" Target="https://connect.garmin.com/app/activity/24084762096" TargetMode="External"/><Relationship Id="rId403" Type="http://schemas.openxmlformats.org/officeDocument/2006/relationships/hyperlink" Target="https://connect.garmin.com/app/activity/1302280351" TargetMode="External"/><Relationship Id="rId750" Type="http://schemas.openxmlformats.org/officeDocument/2006/relationships/hyperlink" Target="https://yamap.com/activities/23592843" TargetMode="External"/><Relationship Id="rId848" Type="http://schemas.openxmlformats.org/officeDocument/2006/relationships/hyperlink" Target="https://yamap.com/activities/37058513" TargetMode="External"/><Relationship Id="rId487" Type="http://schemas.openxmlformats.org/officeDocument/2006/relationships/hyperlink" Target="https://connect.garmin.com/app/activity/2560604463" TargetMode="External"/><Relationship Id="rId610" Type="http://schemas.openxmlformats.org/officeDocument/2006/relationships/hyperlink" Target="https://yamap.com/activities/12297354" TargetMode="External"/><Relationship Id="rId694" Type="http://schemas.openxmlformats.org/officeDocument/2006/relationships/hyperlink" Target="https://yamap.com/activities/18274904" TargetMode="External"/><Relationship Id="rId708" Type="http://schemas.openxmlformats.org/officeDocument/2006/relationships/hyperlink" Target="https://yamap.com/activities/19301216" TargetMode="External"/><Relationship Id="rId915" Type="http://schemas.openxmlformats.org/officeDocument/2006/relationships/hyperlink" Target="https://yamap.com/activities/43047939" TargetMode="External"/><Relationship Id="rId347" Type="http://schemas.openxmlformats.org/officeDocument/2006/relationships/hyperlink" Target="https://connect.garmin.com/app/activity/888066953" TargetMode="External"/><Relationship Id="rId44" Type="http://schemas.openxmlformats.org/officeDocument/2006/relationships/hyperlink" Target="https://connect.garmin.com/app/activity/24050292381" TargetMode="External"/><Relationship Id="rId554" Type="http://schemas.openxmlformats.org/officeDocument/2006/relationships/hyperlink" Target="https://connect.garmin.com/app/activity/3685008389" TargetMode="External"/><Relationship Id="rId761" Type="http://schemas.openxmlformats.org/officeDocument/2006/relationships/hyperlink" Target="https://yamap.com/activities/24792648" TargetMode="External"/><Relationship Id="rId859" Type="http://schemas.openxmlformats.org/officeDocument/2006/relationships/hyperlink" Target="https://yamap.com/activities/38354536" TargetMode="External"/><Relationship Id="rId193" Type="http://schemas.openxmlformats.org/officeDocument/2006/relationships/hyperlink" Target="https://connect.garmin.com/app/activity/24085778383" TargetMode="External"/><Relationship Id="rId207" Type="http://schemas.openxmlformats.org/officeDocument/2006/relationships/hyperlink" Target="https://connect.garmin.com/app/activity/345322857" TargetMode="External"/><Relationship Id="rId414" Type="http://schemas.openxmlformats.org/officeDocument/2006/relationships/hyperlink" Target="https://connect.garmin.com/app/activity/1432318046" TargetMode="External"/><Relationship Id="rId498" Type="http://schemas.openxmlformats.org/officeDocument/2006/relationships/hyperlink" Target="https://connect.garmin.com/app/activity/2671497952" TargetMode="External"/><Relationship Id="rId621" Type="http://schemas.openxmlformats.org/officeDocument/2006/relationships/hyperlink" Target="https://yamap.com/activities/13820073" TargetMode="External"/><Relationship Id="rId260" Type="http://schemas.openxmlformats.org/officeDocument/2006/relationships/hyperlink" Target="https://connect.garmin.com/app/activity/888061959" TargetMode="External"/><Relationship Id="rId719" Type="http://schemas.openxmlformats.org/officeDocument/2006/relationships/hyperlink" Target="https://yamap.com/activities/20559072" TargetMode="External"/><Relationship Id="rId926" Type="http://schemas.openxmlformats.org/officeDocument/2006/relationships/hyperlink" Target="https://yamap.com/activities/43933694" TargetMode="External"/><Relationship Id="rId55" Type="http://schemas.openxmlformats.org/officeDocument/2006/relationships/hyperlink" Target="https://connect.garmin.com/app/activity/24055864762" TargetMode="External"/><Relationship Id="rId120" Type="http://schemas.openxmlformats.org/officeDocument/2006/relationships/hyperlink" Target="https://connect.garmin.com/app/activity/24061063100" TargetMode="External"/><Relationship Id="rId358" Type="http://schemas.openxmlformats.org/officeDocument/2006/relationships/hyperlink" Target="https://connect.garmin.com/app/activity/961959394" TargetMode="External"/><Relationship Id="rId565" Type="http://schemas.openxmlformats.org/officeDocument/2006/relationships/hyperlink" Target="https://connect.garmin.com/app/activity/4211915003" TargetMode="External"/><Relationship Id="rId772" Type="http://schemas.openxmlformats.org/officeDocument/2006/relationships/hyperlink" Target="https://yamap.com/activities/25926691" TargetMode="External"/><Relationship Id="rId218" Type="http://schemas.openxmlformats.org/officeDocument/2006/relationships/hyperlink" Target="https://connect.garmin.com/app/activity/432039743" TargetMode="External"/><Relationship Id="rId425" Type="http://schemas.openxmlformats.org/officeDocument/2006/relationships/hyperlink" Target="https://connect.garmin.com/app/activity/1509309588" TargetMode="External"/><Relationship Id="rId632" Type="http://schemas.openxmlformats.org/officeDocument/2006/relationships/hyperlink" Target="https://yamap.com/activities/14557430" TargetMode="External"/><Relationship Id="rId271" Type="http://schemas.openxmlformats.org/officeDocument/2006/relationships/hyperlink" Target="https://connect.garmin.com/app/activity/888062604" TargetMode="External"/><Relationship Id="rId937" Type="http://schemas.openxmlformats.org/officeDocument/2006/relationships/hyperlink" Target="https://yamap.com/activities/44281154" TargetMode="External"/><Relationship Id="rId66" Type="http://schemas.openxmlformats.org/officeDocument/2006/relationships/hyperlink" Target="https://connect.garmin.com/app/activity/24056084432" TargetMode="External"/><Relationship Id="rId131" Type="http://schemas.openxmlformats.org/officeDocument/2006/relationships/hyperlink" Target="https://connect.garmin.com/app/activity/24079066723" TargetMode="External"/><Relationship Id="rId369" Type="http://schemas.openxmlformats.org/officeDocument/2006/relationships/hyperlink" Target="https://connect.garmin.com/app/activity/1009596349" TargetMode="External"/><Relationship Id="rId576" Type="http://schemas.openxmlformats.org/officeDocument/2006/relationships/hyperlink" Target="https://connect.garmin.com/app/activity/4334538151" TargetMode="External"/><Relationship Id="rId783" Type="http://schemas.openxmlformats.org/officeDocument/2006/relationships/hyperlink" Target="https://yamap.com/activities/27823992" TargetMode="External"/><Relationship Id="rId990" Type="http://schemas.openxmlformats.org/officeDocument/2006/relationships/hyperlink" Target="https://yamap.com/activities/50003232" TargetMode="External"/><Relationship Id="rId229" Type="http://schemas.openxmlformats.org/officeDocument/2006/relationships/hyperlink" Target="https://connect.garmin.com/app/activity/432039793" TargetMode="External"/><Relationship Id="rId436" Type="http://schemas.openxmlformats.org/officeDocument/2006/relationships/hyperlink" Target="https://yamap.com/activities/37090750" TargetMode="External"/><Relationship Id="rId643" Type="http://schemas.openxmlformats.org/officeDocument/2006/relationships/hyperlink" Target="https://yamap.com/activities/15082423" TargetMode="External"/><Relationship Id="rId850" Type="http://schemas.openxmlformats.org/officeDocument/2006/relationships/hyperlink" Target="https://yamap.com/activities/37218066" TargetMode="External"/><Relationship Id="rId948" Type="http://schemas.openxmlformats.org/officeDocument/2006/relationships/hyperlink" Target="https://yamap.com/activities/45014135" TargetMode="External"/><Relationship Id="rId77" Type="http://schemas.openxmlformats.org/officeDocument/2006/relationships/hyperlink" Target="https://connect.garmin.com/app/activity/24056306534" TargetMode="External"/><Relationship Id="rId282" Type="http://schemas.openxmlformats.org/officeDocument/2006/relationships/hyperlink" Target="https://connect.garmin.com/app/activity/888063227" TargetMode="External"/><Relationship Id="rId503" Type="http://schemas.openxmlformats.org/officeDocument/2006/relationships/hyperlink" Target="https://connect.garmin.com/app/activity/2800122339" TargetMode="External"/><Relationship Id="rId587" Type="http://schemas.openxmlformats.org/officeDocument/2006/relationships/hyperlink" Target="https://yamap.com/activities/10173982" TargetMode="External"/><Relationship Id="rId710" Type="http://schemas.openxmlformats.org/officeDocument/2006/relationships/hyperlink" Target="https://yamap.com/activities/19542952" TargetMode="External"/><Relationship Id="rId808" Type="http://schemas.openxmlformats.org/officeDocument/2006/relationships/hyperlink" Target="https://yamap.com/activities/30975923" TargetMode="External"/><Relationship Id="rId8" Type="http://schemas.openxmlformats.org/officeDocument/2006/relationships/hyperlink" Target="https://connect.garmin.com/app/activity/24048069466" TargetMode="External"/><Relationship Id="rId142" Type="http://schemas.openxmlformats.org/officeDocument/2006/relationships/hyperlink" Target="https://connect.garmin.com/app/activity/24079345246" TargetMode="External"/><Relationship Id="rId447" Type="http://schemas.openxmlformats.org/officeDocument/2006/relationships/hyperlink" Target="https://connect.garmin.com/app/activity/1801602719" TargetMode="External"/><Relationship Id="rId794" Type="http://schemas.openxmlformats.org/officeDocument/2006/relationships/hyperlink" Target="https://yamap.com/activities/29717755" TargetMode="External"/><Relationship Id="rId654" Type="http://schemas.openxmlformats.org/officeDocument/2006/relationships/hyperlink" Target="https://yamap.com/activities/15694718" TargetMode="External"/><Relationship Id="rId861" Type="http://schemas.openxmlformats.org/officeDocument/2006/relationships/hyperlink" Target="https://yamap.com/activities/38608894" TargetMode="External"/><Relationship Id="rId959" Type="http://schemas.openxmlformats.org/officeDocument/2006/relationships/hyperlink" Target="https://yamap.com/activities/46158474" TargetMode="External"/><Relationship Id="rId293" Type="http://schemas.openxmlformats.org/officeDocument/2006/relationships/hyperlink" Target="https://connect.garmin.com/app/activity/888063859" TargetMode="External"/><Relationship Id="rId307" Type="http://schemas.openxmlformats.org/officeDocument/2006/relationships/hyperlink" Target="https://connect.garmin.com/app/activity/888064671" TargetMode="External"/><Relationship Id="rId514" Type="http://schemas.openxmlformats.org/officeDocument/2006/relationships/hyperlink" Target="https://connect.garmin.com/app/activity/2996722451" TargetMode="External"/><Relationship Id="rId721" Type="http://schemas.openxmlformats.org/officeDocument/2006/relationships/hyperlink" Target="https://yamap.com/activities/20721128" TargetMode="External"/><Relationship Id="rId88" Type="http://schemas.openxmlformats.org/officeDocument/2006/relationships/hyperlink" Target="https://connect.garmin.com/app/activity/24056660715" TargetMode="External"/><Relationship Id="rId153" Type="http://schemas.openxmlformats.org/officeDocument/2006/relationships/hyperlink" Target="https://connect.garmin.com/app/activity/24079583335" TargetMode="External"/><Relationship Id="rId360" Type="http://schemas.openxmlformats.org/officeDocument/2006/relationships/hyperlink" Target="https://connect.garmin.com/app/activity/963042202" TargetMode="External"/><Relationship Id="rId598" Type="http://schemas.openxmlformats.org/officeDocument/2006/relationships/hyperlink" Target="https://yamap.com/activities/11336362" TargetMode="External"/><Relationship Id="rId819" Type="http://schemas.openxmlformats.org/officeDocument/2006/relationships/hyperlink" Target="https://yamap.com/activities/31552799" TargetMode="External"/><Relationship Id="rId220" Type="http://schemas.openxmlformats.org/officeDocument/2006/relationships/hyperlink" Target="https://connect.garmin.com/app/activity/432039625" TargetMode="External"/><Relationship Id="rId458" Type="http://schemas.openxmlformats.org/officeDocument/2006/relationships/hyperlink" Target="https://yamap.com/activities/39991889" TargetMode="External"/><Relationship Id="rId665" Type="http://schemas.openxmlformats.org/officeDocument/2006/relationships/hyperlink" Target="https://yamap.com/activities/16273178" TargetMode="External"/><Relationship Id="rId872" Type="http://schemas.openxmlformats.org/officeDocument/2006/relationships/hyperlink" Target="https://yamap.com/activities/39071353" TargetMode="External"/><Relationship Id="rId15" Type="http://schemas.openxmlformats.org/officeDocument/2006/relationships/hyperlink" Target="https://connect.garmin.com/app/activity/24048605205" TargetMode="External"/><Relationship Id="rId318" Type="http://schemas.openxmlformats.org/officeDocument/2006/relationships/hyperlink" Target="https://connect.garmin.com/app/activity/888065324" TargetMode="External"/><Relationship Id="rId525" Type="http://schemas.openxmlformats.org/officeDocument/2006/relationships/hyperlink" Target="https://connect.garmin.com/app/activity/3166698283" TargetMode="External"/><Relationship Id="rId732" Type="http://schemas.openxmlformats.org/officeDocument/2006/relationships/hyperlink" Target="https://yamap.com/activities/21656685" TargetMode="External"/><Relationship Id="rId99" Type="http://schemas.openxmlformats.org/officeDocument/2006/relationships/hyperlink" Target="https://connect.garmin.com/app/activity/24060222814" TargetMode="External"/><Relationship Id="rId164" Type="http://schemas.openxmlformats.org/officeDocument/2006/relationships/hyperlink" Target="https://connect.garmin.com/app/activity/24079780522" TargetMode="External"/><Relationship Id="rId371" Type="http://schemas.openxmlformats.org/officeDocument/2006/relationships/hyperlink" Target="https://connect.garmin.com/app/activity/1025373339" TargetMode="External"/><Relationship Id="rId469" Type="http://schemas.openxmlformats.org/officeDocument/2006/relationships/hyperlink" Target="https://connect.garmin.com/app/activity/2344334828" TargetMode="External"/><Relationship Id="rId676" Type="http://schemas.openxmlformats.org/officeDocument/2006/relationships/hyperlink" Target="https://yamap.com/activities/16944751" TargetMode="External"/><Relationship Id="rId883" Type="http://schemas.openxmlformats.org/officeDocument/2006/relationships/hyperlink" Target="https://yamap.com/activities/39939677" TargetMode="External"/><Relationship Id="rId26" Type="http://schemas.openxmlformats.org/officeDocument/2006/relationships/hyperlink" Target="https://connect.garmin.com/app/activity/24049249573" TargetMode="External"/><Relationship Id="rId231" Type="http://schemas.openxmlformats.org/officeDocument/2006/relationships/hyperlink" Target="https://connect.garmin.com/app/activity/432039771" TargetMode="External"/><Relationship Id="rId329" Type="http://schemas.openxmlformats.org/officeDocument/2006/relationships/hyperlink" Target="https://connect.garmin.com/app/activity/888065983" TargetMode="External"/><Relationship Id="rId536" Type="http://schemas.openxmlformats.org/officeDocument/2006/relationships/hyperlink" Target="https://connect.garmin.com/app/activity/3383330589" TargetMode="External"/><Relationship Id="rId175" Type="http://schemas.openxmlformats.org/officeDocument/2006/relationships/hyperlink" Target="https://connect.garmin.com/app/activity/24084186354" TargetMode="External"/><Relationship Id="rId743" Type="http://schemas.openxmlformats.org/officeDocument/2006/relationships/hyperlink" Target="https://yamap.com/activities/23084056" TargetMode="External"/><Relationship Id="rId950" Type="http://schemas.openxmlformats.org/officeDocument/2006/relationships/hyperlink" Target="https://yamap.com/activities/45094416" TargetMode="External"/><Relationship Id="rId382" Type="http://schemas.openxmlformats.org/officeDocument/2006/relationships/hyperlink" Target="https://connect.garmin.com/app/activity/1074344113" TargetMode="External"/><Relationship Id="rId603" Type="http://schemas.openxmlformats.org/officeDocument/2006/relationships/hyperlink" Target="https://yamap.com/activities/11884488" TargetMode="External"/><Relationship Id="rId687" Type="http://schemas.openxmlformats.org/officeDocument/2006/relationships/hyperlink" Target="https://yamap.com/activities/17761423" TargetMode="External"/><Relationship Id="rId810" Type="http://schemas.openxmlformats.org/officeDocument/2006/relationships/hyperlink" Target="https://yamap.com/activities/30977714" TargetMode="External"/><Relationship Id="rId908" Type="http://schemas.openxmlformats.org/officeDocument/2006/relationships/hyperlink" Target="https://yamap.com/activities/41762855" TargetMode="External"/><Relationship Id="rId242" Type="http://schemas.openxmlformats.org/officeDocument/2006/relationships/hyperlink" Target="https://connect.garmin.com/app/activity/432045183" TargetMode="External"/><Relationship Id="rId894" Type="http://schemas.openxmlformats.org/officeDocument/2006/relationships/hyperlink" Target="https://yamap.com/activities/40753410" TargetMode="External"/><Relationship Id="rId37" Type="http://schemas.openxmlformats.org/officeDocument/2006/relationships/hyperlink" Target="https://connect.garmin.com/app/activity/24049875626" TargetMode="External"/><Relationship Id="rId102" Type="http://schemas.openxmlformats.org/officeDocument/2006/relationships/hyperlink" Target="https://connect.garmin.com/app/activity/24060389382" TargetMode="External"/><Relationship Id="rId547" Type="http://schemas.openxmlformats.org/officeDocument/2006/relationships/hyperlink" Target="https://connect.garmin.com/app/activity/3598989349" TargetMode="External"/><Relationship Id="rId754" Type="http://schemas.openxmlformats.org/officeDocument/2006/relationships/hyperlink" Target="https://yamap.com/activities/24026615" TargetMode="External"/><Relationship Id="rId961" Type="http://schemas.openxmlformats.org/officeDocument/2006/relationships/hyperlink" Target="https://yamap.com/activities/46391298" TargetMode="External"/><Relationship Id="rId90" Type="http://schemas.openxmlformats.org/officeDocument/2006/relationships/hyperlink" Target="https://connect.garmin.com/app/activity/24059754986" TargetMode="External"/><Relationship Id="rId186" Type="http://schemas.openxmlformats.org/officeDocument/2006/relationships/hyperlink" Target="https://connect.garmin.com/app/activity/24085034326" TargetMode="External"/><Relationship Id="rId393" Type="http://schemas.openxmlformats.org/officeDocument/2006/relationships/hyperlink" Target="https://connect.garmin.com/app/activity/1178601181" TargetMode="External"/><Relationship Id="rId407" Type="http://schemas.openxmlformats.org/officeDocument/2006/relationships/hyperlink" Target="https://connect.garmin.com/app/activity/1352471424" TargetMode="External"/><Relationship Id="rId614" Type="http://schemas.openxmlformats.org/officeDocument/2006/relationships/hyperlink" Target="https://yamap.com/activities/13278897" TargetMode="External"/><Relationship Id="rId821" Type="http://schemas.openxmlformats.org/officeDocument/2006/relationships/hyperlink" Target="https://yamap.com/activities/31886040" TargetMode="External"/><Relationship Id="rId253" Type="http://schemas.openxmlformats.org/officeDocument/2006/relationships/hyperlink" Target="https://connect.garmin.com/app/activity/888061302" TargetMode="External"/><Relationship Id="rId460" Type="http://schemas.openxmlformats.org/officeDocument/2006/relationships/hyperlink" Target="https://yamap.com/activities/40015912" TargetMode="External"/><Relationship Id="rId698" Type="http://schemas.openxmlformats.org/officeDocument/2006/relationships/hyperlink" Target="https://yamap.com/activities/18618929" TargetMode="External"/><Relationship Id="rId919" Type="http://schemas.openxmlformats.org/officeDocument/2006/relationships/hyperlink" Target="https://yamap.com/activities/43440922" TargetMode="External"/><Relationship Id="rId48" Type="http://schemas.openxmlformats.org/officeDocument/2006/relationships/hyperlink" Target="https://connect.garmin.com/app/activity/24055628812" TargetMode="External"/><Relationship Id="rId113" Type="http://schemas.openxmlformats.org/officeDocument/2006/relationships/hyperlink" Target="https://connect.garmin.com/app/activity/24060752034" TargetMode="External"/><Relationship Id="rId320" Type="http://schemas.openxmlformats.org/officeDocument/2006/relationships/hyperlink" Target="https://connect.garmin.com/app/activity/888065440" TargetMode="External"/><Relationship Id="rId558" Type="http://schemas.openxmlformats.org/officeDocument/2006/relationships/hyperlink" Target="https://connect.garmin.com/app/activity/3890363465" TargetMode="External"/><Relationship Id="rId765" Type="http://schemas.openxmlformats.org/officeDocument/2006/relationships/hyperlink" Target="https://yamap.com/activities/25225931" TargetMode="External"/><Relationship Id="rId972" Type="http://schemas.openxmlformats.org/officeDocument/2006/relationships/hyperlink" Target="https://yamap.com/activities/47873584" TargetMode="External"/><Relationship Id="rId197" Type="http://schemas.openxmlformats.org/officeDocument/2006/relationships/hyperlink" Target="https://connect.garmin.com/app/activity/24086059128" TargetMode="External"/><Relationship Id="rId418" Type="http://schemas.openxmlformats.org/officeDocument/2006/relationships/hyperlink" Target="https://connect.garmin.com/app/activity/1452700599" TargetMode="External"/><Relationship Id="rId625" Type="http://schemas.openxmlformats.org/officeDocument/2006/relationships/hyperlink" Target="https://yamap.com/activities/14063955" TargetMode="External"/><Relationship Id="rId832" Type="http://schemas.openxmlformats.org/officeDocument/2006/relationships/hyperlink" Target="https://yamap.com/activities/33835939" TargetMode="External"/><Relationship Id="rId264" Type="http://schemas.openxmlformats.org/officeDocument/2006/relationships/hyperlink" Target="https://connect.garmin.com/app/activity/888062139" TargetMode="External"/><Relationship Id="rId471" Type="http://schemas.openxmlformats.org/officeDocument/2006/relationships/hyperlink" Target="https://connect.garmin.com/app/activity/2348971248" TargetMode="External"/><Relationship Id="rId59" Type="http://schemas.openxmlformats.org/officeDocument/2006/relationships/hyperlink" Target="https://connect.garmin.com/app/activity/24055919356" TargetMode="External"/><Relationship Id="rId124" Type="http://schemas.openxmlformats.org/officeDocument/2006/relationships/hyperlink" Target="https://connect.garmin.com/app/activity/24061281012" TargetMode="External"/><Relationship Id="rId569" Type="http://schemas.openxmlformats.org/officeDocument/2006/relationships/hyperlink" Target="https://connect.garmin.com/app/activity/4233128850" TargetMode="External"/><Relationship Id="rId776" Type="http://schemas.openxmlformats.org/officeDocument/2006/relationships/hyperlink" Target="https://yamap.com/activities/26100931" TargetMode="External"/><Relationship Id="rId983" Type="http://schemas.openxmlformats.org/officeDocument/2006/relationships/hyperlink" Target="https://yamap.com/activities/48929582" TargetMode="External"/><Relationship Id="rId331" Type="http://schemas.openxmlformats.org/officeDocument/2006/relationships/hyperlink" Target="https://connect.garmin.com/app/activity/888066157" TargetMode="External"/><Relationship Id="rId429" Type="http://schemas.openxmlformats.org/officeDocument/2006/relationships/hyperlink" Target="https://connect.garmin.com/app/activity/1536854860" TargetMode="External"/><Relationship Id="rId636" Type="http://schemas.openxmlformats.org/officeDocument/2006/relationships/hyperlink" Target="https://yamap.com/activities/14763691" TargetMode="External"/><Relationship Id="rId843" Type="http://schemas.openxmlformats.org/officeDocument/2006/relationships/hyperlink" Target="https://yamap.com/activities/36501488" TargetMode="External"/><Relationship Id="rId275" Type="http://schemas.openxmlformats.org/officeDocument/2006/relationships/hyperlink" Target="https://connect.garmin.com/app/activity/888062879" TargetMode="External"/><Relationship Id="rId482" Type="http://schemas.openxmlformats.org/officeDocument/2006/relationships/hyperlink" Target="https://connect.garmin.com/app/activity/2502848308" TargetMode="External"/><Relationship Id="rId703" Type="http://schemas.openxmlformats.org/officeDocument/2006/relationships/hyperlink" Target="https://yamap.com/activities/19124670" TargetMode="External"/><Relationship Id="rId910" Type="http://schemas.openxmlformats.org/officeDocument/2006/relationships/hyperlink" Target="https://yamap.com/activities/41874272" TargetMode="External"/><Relationship Id="rId135" Type="http://schemas.openxmlformats.org/officeDocument/2006/relationships/hyperlink" Target="https://connect.garmin.com/app/activity/24079130502" TargetMode="External"/><Relationship Id="rId342" Type="http://schemas.openxmlformats.org/officeDocument/2006/relationships/hyperlink" Target="https://connect.garmin.com/app/activity/888066700" TargetMode="External"/><Relationship Id="rId787" Type="http://schemas.openxmlformats.org/officeDocument/2006/relationships/hyperlink" Target="https://yamap.com/activities/28990074" TargetMode="External"/><Relationship Id="rId202" Type="http://schemas.openxmlformats.org/officeDocument/2006/relationships/hyperlink" Target="https://connect.garmin.com/app/activity/15346824579" TargetMode="External"/><Relationship Id="rId647" Type="http://schemas.openxmlformats.org/officeDocument/2006/relationships/hyperlink" Target="https://yamap.com/activities/15344660" TargetMode="External"/><Relationship Id="rId854" Type="http://schemas.openxmlformats.org/officeDocument/2006/relationships/hyperlink" Target="https://yamap.com/activities/37805746" TargetMode="External"/><Relationship Id="rId286" Type="http://schemas.openxmlformats.org/officeDocument/2006/relationships/hyperlink" Target="https://connect.garmin.com/app/activity/888063463" TargetMode="External"/><Relationship Id="rId493" Type="http://schemas.openxmlformats.org/officeDocument/2006/relationships/hyperlink" Target="https://connect.garmin.com/app/activity/2639434422" TargetMode="External"/><Relationship Id="rId507" Type="http://schemas.openxmlformats.org/officeDocument/2006/relationships/hyperlink" Target="https://connect.garmin.com/app/activity/2849928562" TargetMode="External"/><Relationship Id="rId714" Type="http://schemas.openxmlformats.org/officeDocument/2006/relationships/hyperlink" Target="https://yamap.com/activities/19924368" TargetMode="External"/><Relationship Id="rId921" Type="http://schemas.openxmlformats.org/officeDocument/2006/relationships/hyperlink" Target="https://yamap.com/activities/43628403" TargetMode="External"/><Relationship Id="rId50" Type="http://schemas.openxmlformats.org/officeDocument/2006/relationships/hyperlink" Target="https://connect.garmin.com/app/activity/24055705201" TargetMode="External"/><Relationship Id="rId146" Type="http://schemas.openxmlformats.org/officeDocument/2006/relationships/hyperlink" Target="https://connect.garmin.com/app/activity/24079400874" TargetMode="External"/><Relationship Id="rId353" Type="http://schemas.openxmlformats.org/officeDocument/2006/relationships/hyperlink" Target="https://connect.garmin.com/app/activity/905427065" TargetMode="External"/><Relationship Id="rId560" Type="http://schemas.openxmlformats.org/officeDocument/2006/relationships/hyperlink" Target="https://connect.garmin.com/app/activity/4005063125" TargetMode="External"/><Relationship Id="rId798" Type="http://schemas.openxmlformats.org/officeDocument/2006/relationships/hyperlink" Target="https://yamap.com/activities/30198269" TargetMode="External"/><Relationship Id="rId213" Type="http://schemas.openxmlformats.org/officeDocument/2006/relationships/hyperlink" Target="https://connect.garmin.com/app/activity/432037360" TargetMode="External"/><Relationship Id="rId420" Type="http://schemas.openxmlformats.org/officeDocument/2006/relationships/hyperlink" Target="https://connect.garmin.com/app/activity/1457616305" TargetMode="External"/><Relationship Id="rId658" Type="http://schemas.openxmlformats.org/officeDocument/2006/relationships/hyperlink" Target="https://yamap.com/activities/15902120" TargetMode="External"/><Relationship Id="rId865" Type="http://schemas.openxmlformats.org/officeDocument/2006/relationships/hyperlink" Target="https://yamap.com/activities/38837797" TargetMode="External"/><Relationship Id="rId297" Type="http://schemas.openxmlformats.org/officeDocument/2006/relationships/hyperlink" Target="https://connect.garmin.com/app/activity/888064071" TargetMode="External"/><Relationship Id="rId518" Type="http://schemas.openxmlformats.org/officeDocument/2006/relationships/hyperlink" Target="https://connect.garmin.com/app/activity/3073814051" TargetMode="External"/><Relationship Id="rId725" Type="http://schemas.openxmlformats.org/officeDocument/2006/relationships/hyperlink" Target="https://yamap.com/activities/21124989" TargetMode="External"/><Relationship Id="rId932" Type="http://schemas.openxmlformats.org/officeDocument/2006/relationships/hyperlink" Target="https://yamap.com/activities/44234589" TargetMode="External"/><Relationship Id="rId157" Type="http://schemas.openxmlformats.org/officeDocument/2006/relationships/hyperlink" Target="https://connect.garmin.com/app/activity/24079644330" TargetMode="External"/><Relationship Id="rId364" Type="http://schemas.openxmlformats.org/officeDocument/2006/relationships/hyperlink" Target="https://connect.garmin.com/app/activity/993345633" TargetMode="External"/><Relationship Id="rId61" Type="http://schemas.openxmlformats.org/officeDocument/2006/relationships/hyperlink" Target="https://connect.garmin.com/app/activity/24055939511" TargetMode="External"/><Relationship Id="rId571" Type="http://schemas.openxmlformats.org/officeDocument/2006/relationships/hyperlink" Target="https://connect.garmin.com/app/activity/4294609489" TargetMode="External"/><Relationship Id="rId669" Type="http://schemas.openxmlformats.org/officeDocument/2006/relationships/hyperlink" Target="https://yamap.com/activities/16453024" TargetMode="External"/><Relationship Id="rId876" Type="http://schemas.openxmlformats.org/officeDocument/2006/relationships/hyperlink" Target="https://yamap.com/activities/39255431" TargetMode="External"/><Relationship Id="rId19" Type="http://schemas.openxmlformats.org/officeDocument/2006/relationships/hyperlink" Target="https://connect.garmin.com/app/activity/24108696188" TargetMode="External"/><Relationship Id="rId224" Type="http://schemas.openxmlformats.org/officeDocument/2006/relationships/hyperlink" Target="https://connect.garmin.com/app/activity/432039842" TargetMode="External"/><Relationship Id="rId431" Type="http://schemas.openxmlformats.org/officeDocument/2006/relationships/hyperlink" Target="https://connect.garmin.com/app/activity/1547531892" TargetMode="External"/><Relationship Id="rId529" Type="http://schemas.openxmlformats.org/officeDocument/2006/relationships/hyperlink" Target="https://connect.garmin.com/app/activity/3239605241" TargetMode="External"/><Relationship Id="rId736" Type="http://schemas.openxmlformats.org/officeDocument/2006/relationships/hyperlink" Target="https://yamap.com/activities/22221655" TargetMode="External"/><Relationship Id="rId168" Type="http://schemas.openxmlformats.org/officeDocument/2006/relationships/hyperlink" Target="https://connect.garmin.com/app/activity/24083876345" TargetMode="External"/><Relationship Id="rId943" Type="http://schemas.openxmlformats.org/officeDocument/2006/relationships/hyperlink" Target="https://yamap.com/activities/446395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20"/>
  <sheetViews>
    <sheetView showGridLines="0" tabSelected="1" zoomScaleNormal="100" workbookViewId="0">
      <pane xSplit="4" ySplit="1" topLeftCell="E1193" activePane="bottomRight" state="frozen"/>
      <selection pane="topRight" activeCell="E1" sqref="E1"/>
      <selection pane="bottomLeft" activeCell="A2" sqref="A2"/>
      <selection pane="bottomRight" activeCell="H1193" sqref="H1193"/>
    </sheetView>
  </sheetViews>
  <sheetFormatPr defaultRowHeight="16.5"/>
  <cols>
    <col min="1" max="1" width="11.5" style="86" customWidth="1"/>
    <col min="2" max="2" width="6.625" style="87" customWidth="1"/>
    <col min="3" max="3" width="11" style="88" customWidth="1"/>
    <col min="4" max="4" width="28.375" style="89" customWidth="1"/>
    <col min="5" max="5" width="8.875" style="90" customWidth="1"/>
    <col min="6" max="6" width="8.5" style="85" customWidth="1"/>
    <col min="7" max="7" width="32.875" style="89" customWidth="1"/>
    <col min="8" max="8" width="13" style="72" customWidth="1"/>
    <col min="9" max="9" width="10.75" style="14" customWidth="1"/>
    <col min="10" max="10" width="10.375" style="91" customWidth="1"/>
    <col min="11" max="11" width="9.75" style="91" customWidth="1"/>
    <col min="12" max="12" width="9.125" style="92" customWidth="1"/>
    <col min="13" max="13" width="8.75" style="93" customWidth="1"/>
    <col min="14" max="14" width="12.25" style="94" customWidth="1"/>
    <col min="15" max="15" width="17.75" style="94" customWidth="1"/>
    <col min="16" max="16" width="9" style="1" customWidth="1"/>
    <col min="17" max="16384" width="9" style="1"/>
  </cols>
  <sheetData>
    <row r="1" spans="1:15" ht="45.75" customHeight="1">
      <c r="A1" s="2" t="s">
        <v>0</v>
      </c>
      <c r="B1" s="2" t="s">
        <v>1</v>
      </c>
      <c r="C1" s="2" t="s">
        <v>2</v>
      </c>
      <c r="D1" s="2" t="s">
        <v>3</v>
      </c>
      <c r="E1" s="65" t="s">
        <v>4</v>
      </c>
      <c r="F1" s="65" t="s">
        <v>5</v>
      </c>
      <c r="G1" s="2" t="s">
        <v>6</v>
      </c>
      <c r="H1" s="76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3">
        <v>46228</v>
      </c>
      <c r="B2" s="17" t="s">
        <v>15</v>
      </c>
      <c r="C2" s="35" t="s">
        <v>223</v>
      </c>
      <c r="D2" s="99" t="s">
        <v>3190</v>
      </c>
      <c r="E2" s="101" t="s">
        <v>3191</v>
      </c>
      <c r="F2" s="85" t="str">
        <f>HYPERLINK("https://drive.google.com/file/d/19S9Q0thWCUa3RUAzAA52E7hp8McgfpwS/view?usp=drivesdk","https://drive.google.com/file/d/19S9Q0thWCUa3RUAzAA52E7hp8McgfpwS/view?usp=drivesdk")</f>
        <v>https://drive.google.com/file/d/19S9Q0thWCUa3RUAzAA52E7hp8McgfpwS/view?usp=drivesdk</v>
      </c>
      <c r="G2" s="99" t="s">
        <v>3192</v>
      </c>
      <c r="H2" s="95" t="s">
        <v>3275</v>
      </c>
      <c r="J2" s="4">
        <v>25.5</v>
      </c>
      <c r="K2" s="4">
        <v>290</v>
      </c>
      <c r="L2" s="108" t="s">
        <v>2485</v>
      </c>
      <c r="M2" s="110" t="s">
        <v>22</v>
      </c>
      <c r="N2" s="44" t="s">
        <v>675</v>
      </c>
      <c r="O2" s="44" t="s">
        <v>2761</v>
      </c>
    </row>
    <row r="3" spans="1:15">
      <c r="A3" s="5">
        <v>46227</v>
      </c>
      <c r="B3" s="19" t="s">
        <v>1678</v>
      </c>
      <c r="C3" s="35" t="s">
        <v>1336</v>
      </c>
      <c r="D3" s="99" t="s">
        <v>3028</v>
      </c>
      <c r="E3" s="66" t="s">
        <v>3189</v>
      </c>
      <c r="F3" s="85" t="str">
        <f>HYPERLINK("https://drive.google.com/file/d/1XADjvQM2DlxMR0j2z1lTvu9z3VWs8CdN/view?usp=drivesdk","https://drive.google.com/file/d/1XADjvQM2DlxMR0j2z1lTvu9z3VWs8CdN/view?usp=drivesdk")</f>
        <v>https://drive.google.com/file/d/1XADjvQM2DlxMR0j2z1lTvu9z3VWs8CdN/view?usp=drivesdk</v>
      </c>
      <c r="G3" s="9" t="s">
        <v>3030</v>
      </c>
      <c r="H3" s="95" t="s">
        <v>3275</v>
      </c>
      <c r="J3" s="8">
        <v>4.0999999999999996</v>
      </c>
      <c r="K3" s="8">
        <v>348</v>
      </c>
      <c r="L3" s="54" t="s">
        <v>2905</v>
      </c>
      <c r="M3" s="39" t="s">
        <v>265</v>
      </c>
      <c r="N3" s="39" t="s">
        <v>265</v>
      </c>
      <c r="O3" s="38" t="s">
        <v>265</v>
      </c>
    </row>
    <row r="4" spans="1:15" ht="27">
      <c r="A4" s="5">
        <v>46213</v>
      </c>
      <c r="B4" s="18" t="s">
        <v>15</v>
      </c>
      <c r="C4" s="23" t="s">
        <v>16</v>
      </c>
      <c r="D4" s="9" t="s">
        <v>3315</v>
      </c>
      <c r="E4" s="66" t="s">
        <v>3186</v>
      </c>
      <c r="F4" s="85" t="str">
        <f>HYPERLINK("https://drive.google.com/file/d/17RoBSrzJki9MYVd53Cfkqz5-bQ6xMfst/view?usp=drivesdk","https://drive.google.com/file/d/17RoBSrzJki9MYVd53Cfkqz5-bQ6xMfst/view?usp=drivesdk")</f>
        <v>https://drive.google.com/file/d/17RoBSrzJki9MYVd53Cfkqz5-bQ6xMfst/view?usp=drivesdk</v>
      </c>
      <c r="G4" s="7" t="s">
        <v>3187</v>
      </c>
      <c r="H4" s="73" t="s">
        <v>3314</v>
      </c>
      <c r="J4" s="8">
        <v>53.3</v>
      </c>
      <c r="K4" s="8">
        <v>1357</v>
      </c>
      <c r="L4" s="54" t="s">
        <v>3188</v>
      </c>
      <c r="M4" s="26" t="s">
        <v>22</v>
      </c>
      <c r="N4" s="44" t="s">
        <v>2941</v>
      </c>
      <c r="O4" s="113" t="s">
        <v>2942</v>
      </c>
    </row>
    <row r="5" spans="1:15" ht="18.75" customHeight="1">
      <c r="A5" s="5">
        <v>46212</v>
      </c>
      <c r="B5" s="19" t="s">
        <v>1678</v>
      </c>
      <c r="C5" s="35" t="s">
        <v>1336</v>
      </c>
      <c r="D5" s="9" t="s">
        <v>3183</v>
      </c>
      <c r="E5" s="66" t="s">
        <v>3184</v>
      </c>
      <c r="F5" s="85" t="str">
        <f>HYPERLINK("https://drive.google.com/file/d/1_JizHVHpeqbVVLZuwRnuETmnOPluOe73/view?usp=drivesdk","https://drive.google.com/file/d/1_JizHVHpeqbVVLZuwRnuETmnOPluOe73/view?usp=drivesdk")</f>
        <v>https://drive.google.com/file/d/1_JizHVHpeqbVVLZuwRnuETmnOPluOe73/view?usp=drivesdk</v>
      </c>
      <c r="G5" s="9" t="s">
        <v>3185</v>
      </c>
      <c r="H5" s="95" t="s">
        <v>3252</v>
      </c>
      <c r="J5" s="8">
        <v>6.5</v>
      </c>
      <c r="K5" s="8">
        <v>830</v>
      </c>
      <c r="L5" s="54" t="s">
        <v>2825</v>
      </c>
      <c r="M5" s="39" t="s">
        <v>265</v>
      </c>
      <c r="N5" s="39" t="s">
        <v>265</v>
      </c>
      <c r="O5" s="38" t="s">
        <v>265</v>
      </c>
    </row>
    <row r="6" spans="1:15" ht="18.75" customHeight="1">
      <c r="A6" s="5">
        <v>46201</v>
      </c>
      <c r="B6" s="18" t="s">
        <v>15</v>
      </c>
      <c r="C6" s="35" t="s">
        <v>16</v>
      </c>
      <c r="D6" s="9" t="s">
        <v>3180</v>
      </c>
      <c r="E6" s="66" t="s">
        <v>3181</v>
      </c>
      <c r="F6" s="85" t="str">
        <f>HYPERLINK("https://drive.google.com/file/d/168iVzsL8AvfuZkvbhmcs8kgh6-ygTPPa/view?usp=drivesdk","https://drive.google.com/file/d/168iVzsL8AvfuZkvbhmcs8kgh6-ygTPPa/view?usp=drivesdk")</f>
        <v>https://drive.google.com/file/d/168iVzsL8AvfuZkvbhmcs8kgh6-ygTPPa/view?usp=drivesdk</v>
      </c>
      <c r="G6" s="9" t="s">
        <v>3182</v>
      </c>
      <c r="H6" s="95" t="s">
        <v>3306</v>
      </c>
      <c r="J6" s="8">
        <v>49.8</v>
      </c>
      <c r="K6" s="8">
        <v>725</v>
      </c>
      <c r="L6" s="54" t="s">
        <v>1081</v>
      </c>
      <c r="M6" s="26" t="s">
        <v>22</v>
      </c>
      <c r="N6" s="44" t="s">
        <v>602</v>
      </c>
      <c r="O6" s="113" t="s">
        <v>2895</v>
      </c>
    </row>
    <row r="7" spans="1:15" ht="41.25" customHeight="1">
      <c r="A7" s="5">
        <v>46194</v>
      </c>
      <c r="B7" s="18" t="s">
        <v>15</v>
      </c>
      <c r="C7" s="35" t="s">
        <v>16</v>
      </c>
      <c r="D7" s="9" t="s">
        <v>3178</v>
      </c>
      <c r="E7" s="66" t="s">
        <v>3179</v>
      </c>
      <c r="F7" s="85" t="str">
        <f>HYPERLINK("https://drive.google.com/file/d/171RN5PgfyCTil8D2OuYPeMkz5OkmkPIN/view?usp=drivesdk","https://drive.google.com/file/d/171RN5PgfyCTil8D2OuYPeMkz5OkmkPIN/view?usp=drivesdk")</f>
        <v>https://drive.google.com/file/d/171RN5PgfyCTil8D2OuYPeMkz5OkmkPIN/view?usp=drivesdk</v>
      </c>
      <c r="G7" s="7" t="s">
        <v>3333</v>
      </c>
      <c r="H7" s="95" t="s">
        <v>3254</v>
      </c>
      <c r="J7" s="8">
        <v>40.6</v>
      </c>
      <c r="K7" s="8">
        <v>462</v>
      </c>
      <c r="L7" s="54" t="s">
        <v>1052</v>
      </c>
      <c r="M7" s="26" t="s">
        <v>22</v>
      </c>
      <c r="N7" s="44" t="s">
        <v>602</v>
      </c>
      <c r="O7" s="44" t="s">
        <v>2895</v>
      </c>
    </row>
    <row r="8" spans="1:15" ht="40.5">
      <c r="A8" s="5">
        <v>46186</v>
      </c>
      <c r="B8" s="18" t="s">
        <v>15</v>
      </c>
      <c r="C8" s="23" t="s">
        <v>16</v>
      </c>
      <c r="D8" s="9" t="s">
        <v>3334</v>
      </c>
      <c r="E8" s="66" t="s">
        <v>3177</v>
      </c>
      <c r="F8" s="85" t="str">
        <f>HYPERLINK("https://drive.google.com/file/d/1NwR1TTEDx1dcl5tv5uyHdr2z4VRkUAjQ/view?usp=drivesdk","https://drive.google.com/file/d/1NwR1TTEDx1dcl5tv5uyHdr2z4VRkUAjQ/view?usp=drivesdk")</f>
        <v>https://drive.google.com/file/d/1NwR1TTEDx1dcl5tv5uyHdr2z4VRkUAjQ/view?usp=drivesdk</v>
      </c>
      <c r="G8" s="7" t="s">
        <v>3335</v>
      </c>
      <c r="H8" s="95" t="s">
        <v>3254</v>
      </c>
      <c r="J8" s="8">
        <v>119.6</v>
      </c>
      <c r="K8" s="8">
        <v>2144</v>
      </c>
      <c r="L8" s="54" t="s">
        <v>2274</v>
      </c>
      <c r="M8" s="26" t="s">
        <v>22</v>
      </c>
      <c r="N8" s="44" t="s">
        <v>602</v>
      </c>
      <c r="O8" s="113" t="s">
        <v>2895</v>
      </c>
    </row>
    <row r="9" spans="1:15" ht="27">
      <c r="A9" s="5">
        <v>46179</v>
      </c>
      <c r="B9" s="18" t="s">
        <v>15</v>
      </c>
      <c r="C9" s="23" t="s">
        <v>16</v>
      </c>
      <c r="D9" s="9" t="s">
        <v>3173</v>
      </c>
      <c r="E9" s="66" t="s">
        <v>3174</v>
      </c>
      <c r="F9" s="85" t="str">
        <f>HYPERLINK("https://drive.google.com/file/d/1OAliwRqA20MQkw-dewvYFSpbPPfI0Uoo/view?usp=drivesdk","https://drive.google.com/file/d/1OAliwRqA20MQkw-dewvYFSpbPPfI0Uoo/view?usp=drivesdk")</f>
        <v>https://drive.google.com/file/d/1OAliwRqA20MQkw-dewvYFSpbPPfI0Uoo/view?usp=drivesdk</v>
      </c>
      <c r="G9" s="7" t="s">
        <v>3175</v>
      </c>
      <c r="H9" s="95" t="s">
        <v>3227</v>
      </c>
      <c r="J9" s="8">
        <v>82.5</v>
      </c>
      <c r="K9" s="8">
        <v>1235</v>
      </c>
      <c r="L9" s="54" t="s">
        <v>3176</v>
      </c>
      <c r="M9" s="26" t="s">
        <v>22</v>
      </c>
      <c r="N9" s="44" t="s">
        <v>602</v>
      </c>
      <c r="O9" s="113" t="s">
        <v>2895</v>
      </c>
    </row>
    <row r="10" spans="1:15" ht="27" customHeight="1">
      <c r="A10" s="5">
        <v>46172</v>
      </c>
      <c r="B10" s="74" t="s">
        <v>246</v>
      </c>
      <c r="C10" s="35" t="s">
        <v>1336</v>
      </c>
      <c r="D10" s="9" t="s">
        <v>2883</v>
      </c>
      <c r="E10" s="66" t="s">
        <v>3172</v>
      </c>
      <c r="F10" s="85" t="str">
        <f>HYPERLINK("https://drive.google.com/file/d/1qV6PpRvl7SUxeofx88CDSQAhG1liamAk/view?usp=drivesdk","https://drive.google.com/file/d/1qV6PpRvl7SUxeofx88CDSQAhG1liamAk/view?usp=drivesdk")</f>
        <v>https://drive.google.com/file/d/1qV6PpRvl7SUxeofx88CDSQAhG1liamAk/view?usp=drivesdk</v>
      </c>
      <c r="G10" s="7" t="s">
        <v>3325</v>
      </c>
      <c r="H10" s="95" t="s">
        <v>3303</v>
      </c>
      <c r="J10" s="8">
        <v>20.9</v>
      </c>
      <c r="K10" s="8">
        <v>1342</v>
      </c>
      <c r="L10" s="54" t="s">
        <v>1171</v>
      </c>
      <c r="M10" s="26" t="s">
        <v>22</v>
      </c>
      <c r="N10" s="44" t="s">
        <v>2941</v>
      </c>
      <c r="O10" s="44" t="s">
        <v>2942</v>
      </c>
    </row>
    <row r="11" spans="1:15" ht="36" customHeight="1">
      <c r="A11" s="5">
        <v>46165</v>
      </c>
      <c r="B11" s="18" t="s">
        <v>15</v>
      </c>
      <c r="C11" s="23" t="s">
        <v>16</v>
      </c>
      <c r="D11" s="9" t="s">
        <v>3169</v>
      </c>
      <c r="E11" s="66" t="s">
        <v>3170</v>
      </c>
      <c r="F11" s="85" t="str">
        <f>HYPERLINK("https://drive.google.com/file/d/1O5EIMrnPWcWi_SB1UZofd6a_4uEA72xN/view?usp=drivesdk","https://drive.google.com/file/d/1O5EIMrnPWcWi_SB1UZofd6a_4uEA72xN/view?usp=drivesdk")</f>
        <v>https://drive.google.com/file/d/1O5EIMrnPWcWi_SB1UZofd6a_4uEA72xN/view?usp=drivesdk</v>
      </c>
      <c r="G11" s="7" t="s">
        <v>3326</v>
      </c>
      <c r="H11" s="95" t="s">
        <v>3313</v>
      </c>
      <c r="J11" s="8">
        <v>91.7</v>
      </c>
      <c r="K11" s="8">
        <v>1413</v>
      </c>
      <c r="L11" s="54" t="s">
        <v>3171</v>
      </c>
      <c r="M11" s="26" t="s">
        <v>22</v>
      </c>
      <c r="N11" s="44" t="s">
        <v>2941</v>
      </c>
      <c r="O11" s="113" t="s">
        <v>2942</v>
      </c>
    </row>
    <row r="12" spans="1:15">
      <c r="A12" s="5">
        <v>46159</v>
      </c>
      <c r="B12" s="20" t="s">
        <v>1632</v>
      </c>
      <c r="C12" s="35" t="s">
        <v>1633</v>
      </c>
      <c r="D12" s="9" t="s">
        <v>177</v>
      </c>
      <c r="E12" s="66" t="s">
        <v>3167</v>
      </c>
      <c r="F12" s="85" t="str">
        <f>HYPERLINK("https://drive.google.com/file/d/1hgpM8XXnF3DlfS-db9Ajgg6A3mV9b2p6/view?usp=drivesdk","https://drive.google.com/file/d/1hgpM8XXnF3DlfS-db9Ajgg6A3mV9b2p6/view?usp=drivesdk")</f>
        <v>https://drive.google.com/file/d/1hgpM8XXnF3DlfS-db9Ajgg6A3mV9b2p6/view?usp=drivesdk</v>
      </c>
      <c r="G12" s="9" t="s">
        <v>177</v>
      </c>
      <c r="H12" s="95" t="s">
        <v>3227</v>
      </c>
      <c r="J12" s="8">
        <v>2</v>
      </c>
      <c r="K12" s="8">
        <v>3</v>
      </c>
      <c r="L12" s="54" t="s">
        <v>3168</v>
      </c>
      <c r="M12" s="39" t="s">
        <v>265</v>
      </c>
      <c r="N12" s="39" t="s">
        <v>265</v>
      </c>
      <c r="O12" s="38" t="s">
        <v>265</v>
      </c>
    </row>
    <row r="13" spans="1:15">
      <c r="A13" s="5">
        <v>46158</v>
      </c>
      <c r="B13" s="18" t="s">
        <v>15</v>
      </c>
      <c r="C13" s="23" t="s">
        <v>16</v>
      </c>
      <c r="D13" s="9" t="s">
        <v>3164</v>
      </c>
      <c r="E13" s="66" t="s">
        <v>3165</v>
      </c>
      <c r="F13" s="85" t="str">
        <f>HYPERLINK("https://drive.google.com/file/d/1ClHIg7MkwFkEXcQqMt6yaN6faYPSJs3w/view?usp=drivesdk","https://drive.google.com/file/d/1ClHIg7MkwFkEXcQqMt6yaN6faYPSJs3w/view?usp=drivesdk")</f>
        <v>https://drive.google.com/file/d/1ClHIg7MkwFkEXcQqMt6yaN6faYPSJs3w/view?usp=drivesdk</v>
      </c>
      <c r="G13" s="9" t="s">
        <v>3166</v>
      </c>
      <c r="H13" s="95" t="s">
        <v>3228</v>
      </c>
      <c r="J13" s="8">
        <v>103</v>
      </c>
      <c r="K13" s="8">
        <v>1653</v>
      </c>
      <c r="L13" s="54" t="s">
        <v>1048</v>
      </c>
      <c r="M13" s="26" t="s">
        <v>22</v>
      </c>
      <c r="N13" s="44" t="s">
        <v>2941</v>
      </c>
      <c r="O13" s="44" t="s">
        <v>2942</v>
      </c>
    </row>
    <row r="14" spans="1:15" ht="27">
      <c r="A14" s="5">
        <v>46151</v>
      </c>
      <c r="B14" s="18" t="s">
        <v>15</v>
      </c>
      <c r="C14" s="23" t="s">
        <v>16</v>
      </c>
      <c r="D14" s="9" t="s">
        <v>3160</v>
      </c>
      <c r="E14" s="66" t="s">
        <v>3161</v>
      </c>
      <c r="F14" s="85" t="str">
        <f>HYPERLINK("https://drive.google.com/file/d/1qraWVsM_BMg26X6tAoUZMYRImqcdBt1m/view?usp=drivesdk","https://drive.google.com/file/d/1qraWVsM_BMg26X6tAoUZMYRImqcdBt1m/view?usp=drivesdk")</f>
        <v>https://drive.google.com/file/d/1qraWVsM_BMg26X6tAoUZMYRImqcdBt1m/view?usp=drivesdk</v>
      </c>
      <c r="G14" s="7" t="s">
        <v>3162</v>
      </c>
      <c r="H14" s="95" t="s">
        <v>3228</v>
      </c>
      <c r="J14" s="8">
        <v>87.6</v>
      </c>
      <c r="K14" s="8">
        <v>1202</v>
      </c>
      <c r="L14" s="54" t="s">
        <v>3163</v>
      </c>
      <c r="M14" s="26" t="s">
        <v>22</v>
      </c>
      <c r="N14" s="44" t="s">
        <v>602</v>
      </c>
      <c r="O14" s="113" t="s">
        <v>2895</v>
      </c>
    </row>
    <row r="15" spans="1:15">
      <c r="A15" s="5">
        <v>46147</v>
      </c>
      <c r="B15" s="19" t="s">
        <v>1678</v>
      </c>
      <c r="C15" s="35" t="s">
        <v>1336</v>
      </c>
      <c r="D15" s="9" t="s">
        <v>3154</v>
      </c>
      <c r="E15" s="66" t="s">
        <v>3155</v>
      </c>
      <c r="F15" s="85" t="str">
        <f>HYPERLINK("https://drive.google.com/file/d/1PNdgRwtjAj2JRT9s9zjw8jD1jAtrHSBZ/view?usp=drivesdk","https://drive.google.com/file/d/1PNdgRwtjAj2JRT9s9zjw8jD1jAtrHSBZ/view?usp=drivesdk")</f>
        <v>https://drive.google.com/file/d/1PNdgRwtjAj2JRT9s9zjw8jD1jAtrHSBZ/view?usp=drivesdk</v>
      </c>
      <c r="G15" s="9" t="s">
        <v>3156</v>
      </c>
      <c r="H15" s="95" t="s">
        <v>3312</v>
      </c>
      <c r="J15" s="8">
        <v>6.3</v>
      </c>
      <c r="K15" s="8">
        <v>488</v>
      </c>
      <c r="L15" s="54" t="s">
        <v>3041</v>
      </c>
      <c r="M15" s="39" t="s">
        <v>265</v>
      </c>
      <c r="N15" s="39" t="s">
        <v>265</v>
      </c>
      <c r="O15" s="38" t="s">
        <v>265</v>
      </c>
    </row>
    <row r="16" spans="1:15">
      <c r="A16" s="5">
        <v>46147</v>
      </c>
      <c r="B16" s="18" t="s">
        <v>15</v>
      </c>
      <c r="C16" s="35" t="s">
        <v>16</v>
      </c>
      <c r="D16" s="9" t="s">
        <v>3157</v>
      </c>
      <c r="E16" s="66" t="s">
        <v>3158</v>
      </c>
      <c r="F16" s="85" t="str">
        <f>HYPERLINK("https://drive.google.com/file/d/1Dpvx9kQPtQxmdbh9vVxTJvoqVVbU6fIy/view?usp=drivesdk","https://drive.google.com/file/d/1Dpvx9kQPtQxmdbh9vVxTJvoqVVbU6fIy/view?usp=drivesdk")</f>
        <v>https://drive.google.com/file/d/1Dpvx9kQPtQxmdbh9vVxTJvoqVVbU6fIy/view?usp=drivesdk</v>
      </c>
      <c r="G16" s="9" t="s">
        <v>3157</v>
      </c>
      <c r="H16" s="95" t="s">
        <v>3311</v>
      </c>
      <c r="J16" s="8">
        <v>7</v>
      </c>
      <c r="K16" s="8">
        <v>212</v>
      </c>
      <c r="L16" s="54" t="s">
        <v>3159</v>
      </c>
      <c r="M16" s="26" t="s">
        <v>22</v>
      </c>
      <c r="N16" s="44" t="s">
        <v>2941</v>
      </c>
      <c r="O16" s="113" t="s">
        <v>2942</v>
      </c>
    </row>
    <row r="17" spans="1:15">
      <c r="A17" s="5">
        <v>46146</v>
      </c>
      <c r="B17" s="19" t="s">
        <v>1678</v>
      </c>
      <c r="C17" s="35" t="s">
        <v>1336</v>
      </c>
      <c r="D17" s="9" t="s">
        <v>3150</v>
      </c>
      <c r="E17" s="66" t="s">
        <v>3151</v>
      </c>
      <c r="F17" s="85" t="str">
        <f>HYPERLINK("https://drive.google.com/file/d/1Lq-qrzX6v9wIoVuV-fxOcnSPf64PMu4j/view?usp=drivesdk","https://drive.google.com/file/d/1Lq-qrzX6v9wIoVuV-fxOcnSPf64PMu4j/view?usp=drivesdk")</f>
        <v>https://drive.google.com/file/d/1Lq-qrzX6v9wIoVuV-fxOcnSPf64PMu4j/view?usp=drivesdk</v>
      </c>
      <c r="G17" s="47" t="s">
        <v>3152</v>
      </c>
      <c r="H17" s="95" t="s">
        <v>3310</v>
      </c>
      <c r="J17" s="8">
        <v>5.3</v>
      </c>
      <c r="K17" s="8">
        <v>639</v>
      </c>
      <c r="L17" s="54" t="s">
        <v>3153</v>
      </c>
      <c r="M17" s="39" t="s">
        <v>265</v>
      </c>
      <c r="N17" s="39" t="s">
        <v>265</v>
      </c>
      <c r="O17" s="39" t="s">
        <v>265</v>
      </c>
    </row>
    <row r="18" spans="1:15">
      <c r="A18" s="5">
        <v>46145</v>
      </c>
      <c r="B18" s="20" t="s">
        <v>1632</v>
      </c>
      <c r="C18" s="35" t="s">
        <v>1633</v>
      </c>
      <c r="D18" s="9" t="s">
        <v>3147</v>
      </c>
      <c r="E18" s="66" t="s">
        <v>3148</v>
      </c>
      <c r="F18" s="85" t="str">
        <f>HYPERLINK("https://drive.google.com/file/d/1zK82VxuxATvfcEtyrkRxPt7d_TnbCDoN/view?usp=drivesdk","https://drive.google.com/file/d/1zK82VxuxATvfcEtyrkRxPt7d_TnbCDoN/view?usp=drivesdk")</f>
        <v>https://drive.google.com/file/d/1zK82VxuxATvfcEtyrkRxPt7d_TnbCDoN/view?usp=drivesdk</v>
      </c>
      <c r="G18" s="9" t="s">
        <v>3147</v>
      </c>
      <c r="H18" s="95" t="s">
        <v>3311</v>
      </c>
      <c r="J18" s="8">
        <v>0.66500000000000004</v>
      </c>
      <c r="K18" s="8">
        <v>42</v>
      </c>
      <c r="L18" s="54" t="s">
        <v>3149</v>
      </c>
      <c r="M18" s="39" t="s">
        <v>265</v>
      </c>
      <c r="N18" s="39" t="s">
        <v>265</v>
      </c>
      <c r="O18" s="39" t="s">
        <v>265</v>
      </c>
    </row>
    <row r="19" spans="1:15">
      <c r="A19" s="5">
        <v>46144</v>
      </c>
      <c r="B19" s="19" t="s">
        <v>1678</v>
      </c>
      <c r="C19" s="35" t="s">
        <v>1336</v>
      </c>
      <c r="D19" s="9" t="s">
        <v>3142</v>
      </c>
      <c r="E19" s="66" t="s">
        <v>3143</v>
      </c>
      <c r="F19" s="85" t="str">
        <f>HYPERLINK("https://drive.google.com/file/d/1xOVOCPFhrwRKIEaW08SRm-f9M60f97Hb/view?usp=drivesdk","https://drive.google.com/file/d/1xOVOCPFhrwRKIEaW08SRm-f9M60f97Hb/view?usp=drivesdk")</f>
        <v>https://drive.google.com/file/d/1xOVOCPFhrwRKIEaW08SRm-f9M60f97Hb/view?usp=drivesdk</v>
      </c>
      <c r="G19" s="47" t="s">
        <v>3318</v>
      </c>
      <c r="H19" s="95" t="s">
        <v>3317</v>
      </c>
      <c r="J19" s="8">
        <v>6.4</v>
      </c>
      <c r="K19" s="8">
        <v>558</v>
      </c>
      <c r="L19" s="54" t="s">
        <v>2963</v>
      </c>
      <c r="M19" s="39" t="s">
        <v>265</v>
      </c>
      <c r="N19" s="39" t="s">
        <v>265</v>
      </c>
      <c r="O19" s="38" t="s">
        <v>265</v>
      </c>
    </row>
    <row r="20" spans="1:15" ht="27" customHeight="1">
      <c r="A20" s="5">
        <v>46144</v>
      </c>
      <c r="B20" s="18" t="s">
        <v>15</v>
      </c>
      <c r="C20" s="35" t="s">
        <v>16</v>
      </c>
      <c r="D20" s="9" t="s">
        <v>3144</v>
      </c>
      <c r="E20" s="66" t="s">
        <v>3145</v>
      </c>
      <c r="F20" s="85" t="str">
        <f>HYPERLINK("https://drive.google.com/file/d/1ZCXIDcuYQ6YWfa8WjCBCO3RYRvzekeD8/view?usp=drivesdk","https://drive.google.com/file/d/1ZCXIDcuYQ6YWfa8WjCBCO3RYRvzekeD8/view?usp=drivesdk")</f>
        <v>https://drive.google.com/file/d/1ZCXIDcuYQ6YWfa8WjCBCO3RYRvzekeD8/view?usp=drivesdk</v>
      </c>
      <c r="G20" s="9" t="s">
        <v>3319</v>
      </c>
      <c r="H20" s="95" t="s">
        <v>3311</v>
      </c>
      <c r="J20" s="8">
        <v>29.7</v>
      </c>
      <c r="K20" s="8">
        <v>760</v>
      </c>
      <c r="L20" s="54" t="s">
        <v>3146</v>
      </c>
      <c r="M20" s="26" t="s">
        <v>22</v>
      </c>
      <c r="N20" s="44" t="s">
        <v>2941</v>
      </c>
      <c r="O20" s="113" t="s">
        <v>2942</v>
      </c>
    </row>
    <row r="21" spans="1:15" ht="27">
      <c r="A21" s="5">
        <v>46137</v>
      </c>
      <c r="B21" s="19" t="s">
        <v>1678</v>
      </c>
      <c r="C21" s="35" t="s">
        <v>1336</v>
      </c>
      <c r="D21" s="9" t="s">
        <v>3136</v>
      </c>
      <c r="E21" s="66" t="s">
        <v>3137</v>
      </c>
      <c r="F21" s="85" t="str">
        <f>HYPERLINK("https://drive.google.com/file/d/1TnqDxpUe5LApjrcaQSPP6TGSO62JMUWG/view?usp=drivesdk","https://drive.google.com/file/d/1TnqDxpUe5LApjrcaQSPP6TGSO62JMUWG/view?usp=drivesdk")</f>
        <v>https://drive.google.com/file/d/1TnqDxpUe5LApjrcaQSPP6TGSO62JMUWG/view?usp=drivesdk</v>
      </c>
      <c r="G21" s="7" t="s">
        <v>3138</v>
      </c>
      <c r="H21" s="95" t="s">
        <v>3306</v>
      </c>
      <c r="J21" s="8">
        <v>8.4</v>
      </c>
      <c r="K21" s="8">
        <v>305</v>
      </c>
      <c r="L21" s="54" t="s">
        <v>3139</v>
      </c>
      <c r="M21" s="39" t="s">
        <v>265</v>
      </c>
      <c r="N21" s="39" t="s">
        <v>265</v>
      </c>
      <c r="O21" s="38" t="s">
        <v>265</v>
      </c>
    </row>
    <row r="22" spans="1:15">
      <c r="A22" s="5">
        <v>46137</v>
      </c>
      <c r="B22" s="18" t="s">
        <v>15</v>
      </c>
      <c r="C22" s="35" t="s">
        <v>16</v>
      </c>
      <c r="D22" s="9" t="s">
        <v>3140</v>
      </c>
      <c r="E22" s="66" t="s">
        <v>3141</v>
      </c>
      <c r="F22" s="85" t="str">
        <f>HYPERLINK("https://drive.google.com/file/d/1hNoob-g_2bhbaVC8c6ypxxSPEfPooPOL/view?usp=drivesdk","https://drive.google.com/file/d/1hNoob-g_2bhbaVC8c6ypxxSPEfPooPOL/view?usp=drivesdk")</f>
        <v>https://drive.google.com/file/d/1hNoob-g_2bhbaVC8c6ypxxSPEfPooPOL/view?usp=drivesdk</v>
      </c>
      <c r="G22" s="9" t="s">
        <v>2830</v>
      </c>
      <c r="H22" s="95" t="s">
        <v>3306</v>
      </c>
      <c r="J22" s="8">
        <v>37.700000000000003</v>
      </c>
      <c r="K22" s="8">
        <v>443</v>
      </c>
      <c r="L22" s="54" t="s">
        <v>2234</v>
      </c>
      <c r="M22" s="26" t="s">
        <v>22</v>
      </c>
      <c r="N22" s="44" t="s">
        <v>2941</v>
      </c>
      <c r="O22" s="113" t="s">
        <v>2942</v>
      </c>
    </row>
    <row r="23" spans="1:15" ht="18.75" customHeight="1">
      <c r="A23" s="5">
        <v>46110</v>
      </c>
      <c r="B23" s="20" t="s">
        <v>1632</v>
      </c>
      <c r="C23" s="35" t="s">
        <v>1633</v>
      </c>
      <c r="D23" s="9" t="s">
        <v>3132</v>
      </c>
      <c r="E23" s="66" t="s">
        <v>3133</v>
      </c>
      <c r="F23" s="85" t="str">
        <f>HYPERLINK("https://drive.google.com/file/d/1jFea9GioluuYGE8LjOhcqASxJ72EIwHH/view?usp=drivesdk","https://drive.google.com/file/d/1jFea9GioluuYGE8LjOhcqASxJ72EIwHH/view?usp=drivesdk")</f>
        <v>https://drive.google.com/file/d/1jFea9GioluuYGE8LjOhcqASxJ72EIwHH/view?usp=drivesdk</v>
      </c>
      <c r="G23" s="7" t="s">
        <v>3134</v>
      </c>
      <c r="H23" s="95" t="s">
        <v>3227</v>
      </c>
      <c r="I23" s="24" t="s">
        <v>40</v>
      </c>
      <c r="J23" s="8">
        <v>2.2000000000000002</v>
      </c>
      <c r="K23" s="8">
        <v>16</v>
      </c>
      <c r="L23" s="54" t="s">
        <v>3135</v>
      </c>
      <c r="M23" s="39" t="s">
        <v>265</v>
      </c>
      <c r="N23" s="39" t="s">
        <v>265</v>
      </c>
      <c r="O23" s="38" t="s">
        <v>265</v>
      </c>
    </row>
    <row r="24" spans="1:15" ht="14.25" customHeight="1">
      <c r="A24" s="5">
        <v>46109</v>
      </c>
      <c r="B24" s="19" t="s">
        <v>1678</v>
      </c>
      <c r="C24" s="35" t="s">
        <v>1336</v>
      </c>
      <c r="D24" s="9" t="s">
        <v>3128</v>
      </c>
      <c r="E24" s="66" t="s">
        <v>3129</v>
      </c>
      <c r="F24" s="85" t="str">
        <f>HYPERLINK("https://drive.google.com/file/d/16s3UqzyiZ0Yc7Y_VUZEB3obAtWh1xRyK/view?usp=drivesdk","https://drive.google.com/file/d/16s3UqzyiZ0Yc7Y_VUZEB3obAtWh1xRyK/view?usp=drivesdk")</f>
        <v>https://drive.google.com/file/d/16s3UqzyiZ0Yc7Y_VUZEB3obAtWh1xRyK/view?usp=drivesdk</v>
      </c>
      <c r="G24" s="9" t="s">
        <v>3130</v>
      </c>
      <c r="H24" s="95" t="s">
        <v>3227</v>
      </c>
      <c r="J24" s="8">
        <v>6</v>
      </c>
      <c r="K24" s="8">
        <v>601</v>
      </c>
      <c r="L24" s="54" t="s">
        <v>3131</v>
      </c>
      <c r="M24" s="39" t="s">
        <v>265</v>
      </c>
      <c r="N24" s="39" t="s">
        <v>265</v>
      </c>
      <c r="O24" s="38" t="s">
        <v>265</v>
      </c>
    </row>
    <row r="25" spans="1:15" ht="27">
      <c r="A25" s="5">
        <v>46103</v>
      </c>
      <c r="B25" s="74" t="s">
        <v>246</v>
      </c>
      <c r="C25" s="35" t="s">
        <v>1336</v>
      </c>
      <c r="D25" s="9" t="s">
        <v>3322</v>
      </c>
      <c r="E25" s="66" t="s">
        <v>3126</v>
      </c>
      <c r="F25" s="85" t="str">
        <f>HYPERLINK("https://drive.google.com/file/d/1LHaEJFnImH1D6Ur8tOEbNih8TM5rVi_9/view?usp=drivesdk","https://drive.google.com/file/d/1LHaEJFnImH1D6Ur8tOEbNih8TM5rVi_9/view?usp=drivesdk")</f>
        <v>https://drive.google.com/file/d/1LHaEJFnImH1D6Ur8tOEbNih8TM5rVi_9/view?usp=drivesdk</v>
      </c>
      <c r="G25" s="47" t="s">
        <v>3321</v>
      </c>
      <c r="H25" s="95" t="s">
        <v>3303</v>
      </c>
      <c r="J25" s="8">
        <v>7.4</v>
      </c>
      <c r="K25" s="8">
        <v>585</v>
      </c>
      <c r="L25" s="54" t="s">
        <v>3127</v>
      </c>
      <c r="M25" s="26" t="s">
        <v>22</v>
      </c>
      <c r="N25" s="44" t="s">
        <v>2941</v>
      </c>
      <c r="O25" s="113" t="s">
        <v>2942</v>
      </c>
    </row>
    <row r="26" spans="1:15" ht="40.5">
      <c r="A26" s="5">
        <v>46102</v>
      </c>
      <c r="B26" s="74" t="s">
        <v>246</v>
      </c>
      <c r="C26" s="35" t="s">
        <v>1336</v>
      </c>
      <c r="D26" s="9" t="s">
        <v>3124</v>
      </c>
      <c r="E26" s="66" t="s">
        <v>3125</v>
      </c>
      <c r="F26" s="85" t="str">
        <f>HYPERLINK("https://drive.google.com/file/d/18MSqAw1vOggG2QFtRKSsozQiOd3bS_uo/view?usp=drivesdk","https://drive.google.com/file/d/18MSqAw1vOggG2QFtRKSsozQiOd3bS_uo/view?usp=drivesdk")</f>
        <v>https://drive.google.com/file/d/18MSqAw1vOggG2QFtRKSsozQiOd3bS_uo/view?usp=drivesdk</v>
      </c>
      <c r="G26" s="7" t="s">
        <v>3329</v>
      </c>
      <c r="H26" s="95" t="s">
        <v>3303</v>
      </c>
      <c r="J26" s="8">
        <v>16.8</v>
      </c>
      <c r="K26" s="8">
        <v>1034</v>
      </c>
      <c r="L26" s="54" t="s">
        <v>2072</v>
      </c>
      <c r="M26" s="26" t="s">
        <v>22</v>
      </c>
      <c r="N26" s="44" t="s">
        <v>2941</v>
      </c>
      <c r="O26" s="113" t="s">
        <v>2942</v>
      </c>
    </row>
    <row r="27" spans="1:15" ht="24.75" customHeight="1">
      <c r="A27" s="5">
        <v>46095</v>
      </c>
      <c r="B27" s="18" t="s">
        <v>15</v>
      </c>
      <c r="C27" s="23" t="s">
        <v>223</v>
      </c>
      <c r="D27" s="9" t="s">
        <v>3120</v>
      </c>
      <c r="E27" s="66" t="s">
        <v>3121</v>
      </c>
      <c r="F27" s="85" t="str">
        <f>HYPERLINK("https://drive.google.com/file/d/1JhZ6RXI8Nj2QSP-xKW9pYO2BVy7898X2/view?usp=drivesdk","https://drive.google.com/file/d/1JhZ6RXI8Nj2QSP-xKW9pYO2BVy7898X2/view?usp=drivesdk")</f>
        <v>https://drive.google.com/file/d/1JhZ6RXI8Nj2QSP-xKW9pYO2BVy7898X2/view?usp=drivesdk</v>
      </c>
      <c r="G27" s="9" t="s">
        <v>3122</v>
      </c>
      <c r="H27" s="95" t="s">
        <v>3227</v>
      </c>
      <c r="I27" s="27"/>
      <c r="J27" s="8">
        <v>5.8</v>
      </c>
      <c r="K27" s="8">
        <v>221</v>
      </c>
      <c r="L27" s="54" t="s">
        <v>3123</v>
      </c>
      <c r="M27" s="26" t="s">
        <v>22</v>
      </c>
      <c r="N27" s="44" t="s">
        <v>675</v>
      </c>
      <c r="O27" s="44" t="s">
        <v>2761</v>
      </c>
    </row>
    <row r="28" spans="1:15" ht="40.5" customHeight="1">
      <c r="A28" s="5">
        <v>46089</v>
      </c>
      <c r="B28" s="18" t="s">
        <v>15</v>
      </c>
      <c r="C28" s="23" t="s">
        <v>16</v>
      </c>
      <c r="D28" s="9" t="s">
        <v>3118</v>
      </c>
      <c r="E28" s="66" t="s">
        <v>3119</v>
      </c>
      <c r="F28" s="85" t="str">
        <f>HYPERLINK("https://drive.google.com/file/d/1GoEmM3Q22XcQoE5xySD22HUP4f1kdk70/view?usp=drivesdk","https://drive.google.com/file/d/1GoEmM3Q22XcQoE5xySD22HUP4f1kdk70/view?usp=drivesdk")</f>
        <v>https://drive.google.com/file/d/1GoEmM3Q22XcQoE5xySD22HUP4f1kdk70/view?usp=drivesdk</v>
      </c>
      <c r="G28" s="7" t="s">
        <v>3336</v>
      </c>
      <c r="H28" s="95" t="s">
        <v>3254</v>
      </c>
      <c r="I28" s="27" t="s">
        <v>1086</v>
      </c>
      <c r="J28" s="8">
        <v>88.2</v>
      </c>
      <c r="K28" s="8">
        <v>651</v>
      </c>
      <c r="L28" s="54" t="s">
        <v>1975</v>
      </c>
      <c r="M28" s="26" t="s">
        <v>22</v>
      </c>
      <c r="N28" s="44" t="s">
        <v>2941</v>
      </c>
      <c r="O28" s="113" t="s">
        <v>2942</v>
      </c>
    </row>
    <row r="29" spans="1:15" ht="13.5">
      <c r="A29" s="5">
        <v>46082</v>
      </c>
      <c r="B29" s="18" t="s">
        <v>15</v>
      </c>
      <c r="C29" s="35" t="s">
        <v>16</v>
      </c>
      <c r="D29" s="9" t="s">
        <v>457</v>
      </c>
      <c r="E29" s="66" t="s">
        <v>3116</v>
      </c>
      <c r="F29" s="85" t="str">
        <f>HYPERLINK("https://drive.google.com/file/d/1WXKHA-YmE3Tti_YIA0e4AmSXalyDIe_V/view?usp=drivesdk","https://drive.google.com/file/d/1WXKHA-YmE3Tti_YIA0e4AmSXalyDIe_V/view?usp=drivesdk")</f>
        <v>https://drive.google.com/file/d/1WXKHA-YmE3Tti_YIA0e4AmSXalyDIe_V/view?usp=drivesdk</v>
      </c>
      <c r="G29" s="9" t="s">
        <v>457</v>
      </c>
      <c r="H29" s="95" t="s">
        <v>3227</v>
      </c>
      <c r="I29" s="27" t="s">
        <v>1086</v>
      </c>
      <c r="J29" s="8">
        <v>60.8</v>
      </c>
      <c r="K29" s="8">
        <v>856</v>
      </c>
      <c r="L29" s="54" t="s">
        <v>3117</v>
      </c>
      <c r="M29" s="26" t="s">
        <v>22</v>
      </c>
      <c r="N29" s="44" t="s">
        <v>2941</v>
      </c>
      <c r="O29" s="113" t="s">
        <v>2942</v>
      </c>
    </row>
    <row r="30" spans="1:15">
      <c r="A30" s="5">
        <v>46081</v>
      </c>
      <c r="B30" s="20" t="s">
        <v>1632</v>
      </c>
      <c r="C30" s="35" t="s">
        <v>1633</v>
      </c>
      <c r="D30" s="9" t="s">
        <v>3113</v>
      </c>
      <c r="E30" s="66" t="s">
        <v>3114</v>
      </c>
      <c r="F30" s="85" t="str">
        <f>HYPERLINK("https://drive.google.com/file/d/1HNhpaEQU7jy7s3znCMSGxu7C6cU08xlF/view?usp=drivesdk","https://drive.google.com/file/d/1HNhpaEQU7jy7s3znCMSGxu7C6cU08xlF/view?usp=drivesdk")</f>
        <v>https://drive.google.com/file/d/1HNhpaEQU7jy7s3znCMSGxu7C6cU08xlF/view?usp=drivesdk</v>
      </c>
      <c r="G30" s="9" t="s">
        <v>3113</v>
      </c>
      <c r="H30" s="95" t="s">
        <v>3227</v>
      </c>
      <c r="I30" s="25" t="s">
        <v>629</v>
      </c>
      <c r="J30" s="8">
        <v>0.96899999999999997</v>
      </c>
      <c r="K30" s="8">
        <v>34</v>
      </c>
      <c r="L30" s="54" t="s">
        <v>3115</v>
      </c>
      <c r="M30" s="39" t="s">
        <v>265</v>
      </c>
      <c r="N30" s="39" t="s">
        <v>265</v>
      </c>
      <c r="O30" s="38" t="s">
        <v>265</v>
      </c>
    </row>
    <row r="31" spans="1:15" ht="18.75" customHeight="1">
      <c r="A31" s="5">
        <v>46076</v>
      </c>
      <c r="B31" s="18" t="s">
        <v>15</v>
      </c>
      <c r="C31" s="23" t="s">
        <v>16</v>
      </c>
      <c r="D31" s="9" t="s">
        <v>3110</v>
      </c>
      <c r="E31" s="66" t="s">
        <v>3111</v>
      </c>
      <c r="F31" s="85" t="str">
        <f>HYPERLINK("https://drive.google.com/file/d/1uz2XobVJ_KW3i0vjaGmIG_Ah2isVDt5a/view?usp=drivesdk","https://drive.google.com/file/d/1uz2XobVJ_KW3i0vjaGmIG_Ah2isVDt5a/view?usp=drivesdk")</f>
        <v>https://drive.google.com/file/d/1uz2XobVJ_KW3i0vjaGmIG_Ah2isVDt5a/view?usp=drivesdk</v>
      </c>
      <c r="G31" s="9" t="s">
        <v>3112</v>
      </c>
      <c r="H31" s="95" t="s">
        <v>3227</v>
      </c>
      <c r="I31" s="75" t="s">
        <v>40</v>
      </c>
      <c r="J31" s="8">
        <v>77</v>
      </c>
      <c r="K31" s="8">
        <v>1076</v>
      </c>
      <c r="L31" s="54" t="s">
        <v>2084</v>
      </c>
      <c r="M31" s="26" t="s">
        <v>22</v>
      </c>
      <c r="N31" s="44" t="s">
        <v>602</v>
      </c>
      <c r="O31" s="44" t="s">
        <v>2895</v>
      </c>
    </row>
    <row r="32" spans="1:15" ht="18.75" customHeight="1">
      <c r="A32" s="5">
        <v>46075</v>
      </c>
      <c r="B32" s="19" t="s">
        <v>1678</v>
      </c>
      <c r="C32" s="23" t="s">
        <v>1336</v>
      </c>
      <c r="D32" s="9" t="s">
        <v>3107</v>
      </c>
      <c r="E32" s="66" t="s">
        <v>3108</v>
      </c>
      <c r="F32" s="85" t="str">
        <f>HYPERLINK("https://drive.google.com/file/d/1tirrlGeLDiT4mn6XeaHTnLpTXDcdZU5L/view?usp=drivesdk","https://drive.google.com/file/d/1tirrlGeLDiT4mn6XeaHTnLpTXDcdZU5L/view?usp=drivesdk")</f>
        <v>https://drive.google.com/file/d/1tirrlGeLDiT4mn6XeaHTnLpTXDcdZU5L/view?usp=drivesdk</v>
      </c>
      <c r="G32" s="9" t="s">
        <v>129</v>
      </c>
      <c r="H32" s="95" t="s">
        <v>3227</v>
      </c>
      <c r="J32" s="8">
        <v>8.1999999999999993</v>
      </c>
      <c r="K32" s="8">
        <v>445</v>
      </c>
      <c r="L32" s="54" t="s">
        <v>3109</v>
      </c>
      <c r="M32" s="39" t="s">
        <v>265</v>
      </c>
      <c r="N32" s="39" t="s">
        <v>265</v>
      </c>
      <c r="O32" s="38" t="s">
        <v>265</v>
      </c>
    </row>
    <row r="33" spans="1:15" ht="27" customHeight="1">
      <c r="A33" s="5">
        <v>46068</v>
      </c>
      <c r="B33" s="74" t="s">
        <v>246</v>
      </c>
      <c r="C33" s="23" t="s">
        <v>1336</v>
      </c>
      <c r="D33" s="7" t="s">
        <v>3103</v>
      </c>
      <c r="E33" s="66" t="s">
        <v>3104</v>
      </c>
      <c r="F33" s="85" t="str">
        <f>HYPERLINK("https://drive.google.com/file/d/16uOAPgIAMIjAhIMxPy4sMMEJlu-zgBSm/view?usp=drivesdk","https://drive.google.com/file/d/16uOAPgIAMIjAhIMxPy4sMMEJlu-zgBSm/view?usp=drivesdk")</f>
        <v>https://drive.google.com/file/d/16uOAPgIAMIjAhIMxPy4sMMEJlu-zgBSm/view?usp=drivesdk</v>
      </c>
      <c r="G33" s="7" t="s">
        <v>3105</v>
      </c>
      <c r="H33" s="95" t="s">
        <v>3227</v>
      </c>
      <c r="I33" s="10"/>
      <c r="J33" s="8">
        <v>20.5</v>
      </c>
      <c r="K33" s="8">
        <v>1104</v>
      </c>
      <c r="L33" s="11" t="s">
        <v>3106</v>
      </c>
      <c r="M33" s="26" t="s">
        <v>22</v>
      </c>
      <c r="N33" s="44" t="s">
        <v>2941</v>
      </c>
      <c r="O33" s="113" t="s">
        <v>2942</v>
      </c>
    </row>
    <row r="34" spans="1:15" ht="40.5" customHeight="1">
      <c r="A34" s="5">
        <v>46060</v>
      </c>
      <c r="B34" s="74" t="s">
        <v>246</v>
      </c>
      <c r="C34" s="23" t="s">
        <v>1336</v>
      </c>
      <c r="D34" s="7" t="s">
        <v>3100</v>
      </c>
      <c r="E34" s="66" t="s">
        <v>3101</v>
      </c>
      <c r="F34" s="85" t="str">
        <f>HYPERLINK("https://drive.google.com/file/d/1WQJU59JeP13Rcp7wNVwiaacTBOz_6e72/view?usp=drivesdk","https://drive.google.com/file/d/1WQJU59JeP13Rcp7wNVwiaacTBOz_6e72/view?usp=drivesdk")</f>
        <v>https://drive.google.com/file/d/1WQJU59JeP13Rcp7wNVwiaacTBOz_6e72/view?usp=drivesdk</v>
      </c>
      <c r="G34" s="7" t="s">
        <v>3102</v>
      </c>
      <c r="H34" s="95" t="s">
        <v>3227</v>
      </c>
      <c r="I34" s="10"/>
      <c r="J34" s="8">
        <v>63.9</v>
      </c>
      <c r="K34" s="8">
        <v>980</v>
      </c>
      <c r="L34" s="11" t="s">
        <v>1027</v>
      </c>
      <c r="M34" s="39" t="s">
        <v>22</v>
      </c>
      <c r="N34" s="43" t="s">
        <v>675</v>
      </c>
      <c r="O34" s="42" t="s">
        <v>1584</v>
      </c>
    </row>
    <row r="35" spans="1:15">
      <c r="A35" s="5">
        <v>46054</v>
      </c>
      <c r="B35" s="19" t="s">
        <v>1678</v>
      </c>
      <c r="C35" s="23" t="s">
        <v>1336</v>
      </c>
      <c r="D35" s="7" t="s">
        <v>2863</v>
      </c>
      <c r="E35" s="66" t="s">
        <v>3099</v>
      </c>
      <c r="F35" s="85" t="str">
        <f>HYPERLINK("https://drive.google.com/file/d/1WR5f_CX60pDWm-SxJRtCwnWp4Ymm9Mfd/view?usp=drivesdk","https://drive.google.com/file/d/1WR5f_CX60pDWm-SxJRtCwnWp4Ymm9Mfd/view?usp=drivesdk")</f>
        <v>https://drive.google.com/file/d/1WR5f_CX60pDWm-SxJRtCwnWp4Ymm9Mfd/view?usp=drivesdk</v>
      </c>
      <c r="G35" s="7" t="s">
        <v>2224</v>
      </c>
      <c r="H35" s="95" t="s">
        <v>3227</v>
      </c>
      <c r="I35" s="10"/>
      <c r="J35" s="8">
        <v>5.6</v>
      </c>
      <c r="K35" s="8">
        <v>615</v>
      </c>
      <c r="L35" s="11" t="s">
        <v>2786</v>
      </c>
      <c r="M35" s="39" t="s">
        <v>265</v>
      </c>
      <c r="N35" s="39" t="s">
        <v>265</v>
      </c>
      <c r="O35" s="39" t="s">
        <v>265</v>
      </c>
    </row>
    <row r="36" spans="1:15" ht="27" customHeight="1">
      <c r="A36" s="5">
        <v>46053</v>
      </c>
      <c r="B36" s="18" t="s">
        <v>15</v>
      </c>
      <c r="C36" s="16" t="s">
        <v>16</v>
      </c>
      <c r="D36" s="7" t="s">
        <v>3095</v>
      </c>
      <c r="E36" s="66" t="s">
        <v>3096</v>
      </c>
      <c r="F36" s="85" t="str">
        <f>HYPERLINK("https://drive.google.com/file/d/16mQvqHSOOGbSzkPVDhUd1a-8xbTbSJYi/view?usp=drivesdk","https://drive.google.com/file/d/16mQvqHSOOGbSzkPVDhUd1a-8xbTbSJYi/view?usp=drivesdk")</f>
        <v>https://drive.google.com/file/d/16mQvqHSOOGbSzkPVDhUd1a-8xbTbSJYi/view?usp=drivesdk</v>
      </c>
      <c r="G36" s="7" t="s">
        <v>3097</v>
      </c>
      <c r="H36" s="95" t="s">
        <v>3227</v>
      </c>
      <c r="I36" s="10"/>
      <c r="J36" s="8">
        <v>74.400000000000006</v>
      </c>
      <c r="K36" s="8">
        <v>768</v>
      </c>
      <c r="L36" s="11" t="s">
        <v>3098</v>
      </c>
      <c r="M36" s="26" t="s">
        <v>22</v>
      </c>
      <c r="N36" s="44" t="s">
        <v>2941</v>
      </c>
      <c r="O36" s="113" t="s">
        <v>2942</v>
      </c>
    </row>
    <row r="37" spans="1:15" ht="27" customHeight="1">
      <c r="A37" s="5">
        <v>46047</v>
      </c>
      <c r="B37" s="18" t="s">
        <v>15</v>
      </c>
      <c r="C37" s="23" t="s">
        <v>223</v>
      </c>
      <c r="D37" s="7" t="s">
        <v>3093</v>
      </c>
      <c r="E37" s="66" t="s">
        <v>3094</v>
      </c>
      <c r="F37" s="85" t="str">
        <f>HYPERLINK("https://drive.google.com/file/d/1rahnCOP17mArOhzZoCbKBg2Eh4cJ3apH/view?usp=drivesdk","https://drive.google.com/file/d/1rahnCOP17mArOhzZoCbKBg2Eh4cJ3apH/view?usp=drivesdk")</f>
        <v>https://drive.google.com/file/d/1rahnCOP17mArOhzZoCbKBg2Eh4cJ3apH/view?usp=drivesdk</v>
      </c>
      <c r="G37" s="7" t="s">
        <v>3093</v>
      </c>
      <c r="H37" s="95" t="s">
        <v>3227</v>
      </c>
      <c r="I37" s="10"/>
      <c r="J37" s="8">
        <v>17.899999999999999</v>
      </c>
      <c r="K37" s="8">
        <v>364</v>
      </c>
      <c r="L37" s="11" t="s">
        <v>2638</v>
      </c>
      <c r="M37" s="26" t="s">
        <v>22</v>
      </c>
      <c r="N37" s="44" t="s">
        <v>675</v>
      </c>
      <c r="O37" s="113" t="s">
        <v>2761</v>
      </c>
    </row>
    <row r="38" spans="1:15" ht="27" customHeight="1">
      <c r="A38" s="5">
        <v>46034</v>
      </c>
      <c r="B38" s="18" t="s">
        <v>15</v>
      </c>
      <c r="C38" s="23" t="s">
        <v>223</v>
      </c>
      <c r="D38" s="7" t="s">
        <v>3090</v>
      </c>
      <c r="E38" s="66" t="s">
        <v>3091</v>
      </c>
      <c r="F38" s="85" t="str">
        <f>HYPERLINK("https://drive.google.com/file/d/1b_6HXXCorh4yqpaW5W1xf_MgfNZHmrl_/view?usp=drivesdk","https://drive.google.com/file/d/1b_6HXXCorh4yqpaW5W1xf_MgfNZHmrl_/view?usp=drivesdk")</f>
        <v>https://drive.google.com/file/d/1b_6HXXCorh4yqpaW5W1xf_MgfNZHmrl_/view?usp=drivesdk</v>
      </c>
      <c r="G38" s="7" t="s">
        <v>3092</v>
      </c>
      <c r="H38" s="95" t="s">
        <v>3227</v>
      </c>
      <c r="I38" s="10"/>
      <c r="J38" s="8">
        <v>30.5</v>
      </c>
      <c r="K38" s="8">
        <v>579</v>
      </c>
      <c r="L38" s="11" t="s">
        <v>2932</v>
      </c>
      <c r="M38" s="26" t="s">
        <v>22</v>
      </c>
      <c r="N38" s="44" t="s">
        <v>675</v>
      </c>
      <c r="O38" s="113" t="s">
        <v>2761</v>
      </c>
    </row>
    <row r="39" spans="1:15" ht="27" customHeight="1">
      <c r="A39" s="5">
        <v>46032</v>
      </c>
      <c r="B39" s="18" t="s">
        <v>15</v>
      </c>
      <c r="C39" s="23" t="s">
        <v>16</v>
      </c>
      <c r="D39" s="7" t="s">
        <v>3087</v>
      </c>
      <c r="E39" s="66" t="s">
        <v>3088</v>
      </c>
      <c r="F39" s="85" t="str">
        <f>HYPERLINK("https://drive.google.com/file/d/1ZvB-Q4Hmc-w2VXsLvjfK2RscfIDHfJ1B/view?usp=drivesdk","https://drive.google.com/file/d/1ZvB-Q4Hmc-w2VXsLvjfK2RscfIDHfJ1B/view?usp=drivesdk")</f>
        <v>https://drive.google.com/file/d/1ZvB-Q4Hmc-w2VXsLvjfK2RscfIDHfJ1B/view?usp=drivesdk</v>
      </c>
      <c r="G39" s="7" t="s">
        <v>3089</v>
      </c>
      <c r="H39" s="73" t="s">
        <v>3254</v>
      </c>
      <c r="I39" s="10"/>
      <c r="J39" s="8">
        <v>94.9</v>
      </c>
      <c r="K39" s="8">
        <v>1814</v>
      </c>
      <c r="L39" s="11" t="s">
        <v>2543</v>
      </c>
      <c r="M39" s="26" t="s">
        <v>22</v>
      </c>
      <c r="N39" s="44" t="s">
        <v>2941</v>
      </c>
      <c r="O39" s="113" t="s">
        <v>2942</v>
      </c>
    </row>
    <row r="40" spans="1:15" ht="27">
      <c r="A40" s="5">
        <v>46023</v>
      </c>
      <c r="B40" s="6" t="s">
        <v>246</v>
      </c>
      <c r="C40" s="16" t="s">
        <v>1336</v>
      </c>
      <c r="D40" s="7" t="s">
        <v>3084</v>
      </c>
      <c r="E40" s="66" t="s">
        <v>3085</v>
      </c>
      <c r="F40" s="85" t="str">
        <f>HYPERLINK("https://drive.google.com/file/d/1HzYOSN-x3MeRyK43j8ovu4tkMl-nTck9/view?usp=drivesdk","https://drive.google.com/file/d/1HzYOSN-x3MeRyK43j8ovu4tkMl-nTck9/view?usp=drivesdk")</f>
        <v>https://drive.google.com/file/d/1HzYOSN-x3MeRyK43j8ovu4tkMl-nTck9/view?usp=drivesdk</v>
      </c>
      <c r="G40" s="7" t="s">
        <v>3086</v>
      </c>
      <c r="H40" s="95" t="s">
        <v>3227</v>
      </c>
      <c r="I40" s="10"/>
      <c r="J40" s="8">
        <v>24.5</v>
      </c>
      <c r="K40" s="8">
        <v>147</v>
      </c>
      <c r="L40" s="11" t="s">
        <v>2450</v>
      </c>
      <c r="M40" s="39" t="s">
        <v>22</v>
      </c>
      <c r="N40" s="43" t="s">
        <v>675</v>
      </c>
      <c r="O40" s="42" t="s">
        <v>1584</v>
      </c>
    </row>
    <row r="41" spans="1:15" ht="27" customHeight="1">
      <c r="A41" s="5">
        <v>46021</v>
      </c>
      <c r="B41" s="6" t="s">
        <v>246</v>
      </c>
      <c r="C41" s="23" t="s">
        <v>1336</v>
      </c>
      <c r="D41" s="7" t="s">
        <v>129</v>
      </c>
      <c r="E41" s="66" t="s">
        <v>3083</v>
      </c>
      <c r="F41" s="85" t="str">
        <f>HYPERLINK("https://drive.google.com/file/d/1TMaCSyvGMpt3DDALS-c5KdrEmcloktG0/view?usp=drivesdk","https://drive.google.com/file/d/1TMaCSyvGMpt3DDALS-c5KdrEmcloktG0/view?usp=drivesdk")</f>
        <v>https://drive.google.com/file/d/1TMaCSyvGMpt3DDALS-c5KdrEmcloktG0/view?usp=drivesdk</v>
      </c>
      <c r="G41" s="7" t="s">
        <v>129</v>
      </c>
      <c r="H41" s="95" t="s">
        <v>3227</v>
      </c>
      <c r="I41" s="10"/>
      <c r="J41" s="8">
        <v>18.8</v>
      </c>
      <c r="K41" s="8">
        <v>924</v>
      </c>
      <c r="L41" s="11" t="s">
        <v>1052</v>
      </c>
      <c r="M41" s="26" t="s">
        <v>22</v>
      </c>
      <c r="N41" s="44" t="s">
        <v>675</v>
      </c>
      <c r="O41" s="113" t="s">
        <v>2761</v>
      </c>
    </row>
    <row r="42" spans="1:15" ht="40.5">
      <c r="A42" s="5">
        <v>46014</v>
      </c>
      <c r="B42" s="18" t="s">
        <v>15</v>
      </c>
      <c r="C42" s="16" t="s">
        <v>16</v>
      </c>
      <c r="D42" s="7" t="s">
        <v>3080</v>
      </c>
      <c r="E42" s="66" t="s">
        <v>3081</v>
      </c>
      <c r="F42" s="85" t="str">
        <f>HYPERLINK("https://drive.google.com/file/d/1Czjd-G_aQor5zqPNLconjVa4vLNs6gsa/view?usp=drivesdk","https://drive.google.com/file/d/1Czjd-G_aQor5zqPNLconjVa4vLNs6gsa/view?usp=drivesdk")</f>
        <v>https://drive.google.com/file/d/1Czjd-G_aQor5zqPNLconjVa4vLNs6gsa/view?usp=drivesdk</v>
      </c>
      <c r="G42" s="7" t="s">
        <v>3338</v>
      </c>
      <c r="H42" s="73" t="s">
        <v>3254</v>
      </c>
      <c r="I42" s="10"/>
      <c r="J42" s="8">
        <v>92</v>
      </c>
      <c r="K42" s="8">
        <v>1864</v>
      </c>
      <c r="L42" s="11" t="s">
        <v>3082</v>
      </c>
      <c r="M42" s="26" t="s">
        <v>22</v>
      </c>
      <c r="N42" s="44" t="s">
        <v>2941</v>
      </c>
      <c r="O42" s="113" t="s">
        <v>2942</v>
      </c>
    </row>
    <row r="43" spans="1:15" ht="54">
      <c r="A43" s="5">
        <v>46010</v>
      </c>
      <c r="B43" s="18" t="s">
        <v>15</v>
      </c>
      <c r="C43" s="16" t="s">
        <v>16</v>
      </c>
      <c r="D43" s="7" t="s">
        <v>3076</v>
      </c>
      <c r="E43" s="66" t="s">
        <v>3077</v>
      </c>
      <c r="F43" s="85" t="str">
        <f>HYPERLINK("https://drive.google.com/file/d/14bcYS7RtNSM-adUg_7pz7pl-NH75INrr/view?usp=drivesdk","https://drive.google.com/file/d/14bcYS7RtNSM-adUg_7pz7pl-NH75INrr/view?usp=drivesdk")</f>
        <v>https://drive.google.com/file/d/14bcYS7RtNSM-adUg_7pz7pl-NH75INrr/view?usp=drivesdk</v>
      </c>
      <c r="G43" s="7" t="s">
        <v>3078</v>
      </c>
      <c r="H43" s="73" t="s">
        <v>3254</v>
      </c>
      <c r="I43" s="10"/>
      <c r="J43" s="8">
        <v>71.8</v>
      </c>
      <c r="K43" s="8">
        <v>468</v>
      </c>
      <c r="L43" s="11" t="s">
        <v>3079</v>
      </c>
      <c r="M43" s="26" t="s">
        <v>22</v>
      </c>
      <c r="N43" s="44" t="s">
        <v>2941</v>
      </c>
      <c r="O43" s="113" t="s">
        <v>2942</v>
      </c>
    </row>
    <row r="44" spans="1:15" ht="40.5">
      <c r="A44" s="5">
        <v>46009</v>
      </c>
      <c r="B44" s="18" t="s">
        <v>15</v>
      </c>
      <c r="C44" s="16" t="s">
        <v>16</v>
      </c>
      <c r="D44" s="7" t="s">
        <v>3073</v>
      </c>
      <c r="E44" s="66" t="s">
        <v>3074</v>
      </c>
      <c r="F44" s="85" t="str">
        <f>HYPERLINK("https://drive.google.com/file/d/1eOl4Tw3axcAbCqZ5WZ3k4ysb7scS16U3/view?usp=drivesdk","https://drive.google.com/file/d/1eOl4Tw3axcAbCqZ5WZ3k4ysb7scS16U3/view?usp=drivesdk")</f>
        <v>https://drive.google.com/file/d/1eOl4Tw3axcAbCqZ5WZ3k4ysb7scS16U3/view?usp=drivesdk</v>
      </c>
      <c r="G44" s="7" t="s">
        <v>3339</v>
      </c>
      <c r="H44" s="73" t="s">
        <v>3254</v>
      </c>
      <c r="I44" s="16" t="s">
        <v>1086</v>
      </c>
      <c r="J44" s="8">
        <v>42.4</v>
      </c>
      <c r="K44" s="8">
        <v>474</v>
      </c>
      <c r="L44" s="11" t="s">
        <v>3075</v>
      </c>
      <c r="M44" s="26" t="s">
        <v>22</v>
      </c>
      <c r="N44" s="44" t="s">
        <v>2941</v>
      </c>
      <c r="O44" s="113" t="s">
        <v>2942</v>
      </c>
    </row>
    <row r="45" spans="1:15">
      <c r="A45" s="5">
        <v>46004</v>
      </c>
      <c r="B45" s="19" t="s">
        <v>1678</v>
      </c>
      <c r="C45" s="23" t="s">
        <v>1336</v>
      </c>
      <c r="D45" s="7" t="s">
        <v>3069</v>
      </c>
      <c r="E45" s="66" t="s">
        <v>3070</v>
      </c>
      <c r="F45" s="85" t="str">
        <f>HYPERLINK("https://drive.google.com/file/d/1gzNRmTtl6cwKvxUYsmYeOjZ7HKp2dnOC/view?usp=drivesdk","https://drive.google.com/file/d/1gzNRmTtl6cwKvxUYsmYeOjZ7HKp2dnOC/view?usp=drivesdk")</f>
        <v>https://drive.google.com/file/d/1gzNRmTtl6cwKvxUYsmYeOjZ7HKp2dnOC/view?usp=drivesdk</v>
      </c>
      <c r="G45" s="7" t="s">
        <v>3071</v>
      </c>
      <c r="H45" s="95" t="s">
        <v>3227</v>
      </c>
      <c r="I45" s="10"/>
      <c r="J45" s="8">
        <v>1.9</v>
      </c>
      <c r="K45" s="8">
        <v>246</v>
      </c>
      <c r="L45" s="11" t="s">
        <v>3072</v>
      </c>
      <c r="M45" s="39" t="s">
        <v>265</v>
      </c>
      <c r="N45" s="39" t="s">
        <v>265</v>
      </c>
      <c r="O45" s="38" t="s">
        <v>265</v>
      </c>
    </row>
    <row r="46" spans="1:15" ht="18.75" customHeight="1">
      <c r="A46" s="5">
        <v>46001</v>
      </c>
      <c r="B46" s="18" t="s">
        <v>15</v>
      </c>
      <c r="C46" s="23" t="s">
        <v>223</v>
      </c>
      <c r="D46" s="7" t="s">
        <v>3067</v>
      </c>
      <c r="E46" s="66" t="s">
        <v>3068</v>
      </c>
      <c r="F46" s="85" t="str">
        <f>HYPERLINK("https://drive.google.com/file/d/1FOh3g1Vsj4IhbzAfHXcfiTnCGgC_DBxL/view?usp=drivesdk","https://drive.google.com/file/d/1FOh3g1Vsj4IhbzAfHXcfiTnCGgC_DBxL/view?usp=drivesdk")</f>
        <v>https://drive.google.com/file/d/1FOh3g1Vsj4IhbzAfHXcfiTnCGgC_DBxL/view?usp=drivesdk</v>
      </c>
      <c r="G46" s="7" t="s">
        <v>3067</v>
      </c>
      <c r="H46" s="95" t="s">
        <v>3227</v>
      </c>
      <c r="I46" s="10"/>
      <c r="J46" s="8">
        <v>126.4</v>
      </c>
      <c r="K46" s="8">
        <v>1606</v>
      </c>
      <c r="L46" s="11" t="s">
        <v>969</v>
      </c>
      <c r="M46" s="26" t="s">
        <v>22</v>
      </c>
      <c r="N46" s="44" t="s">
        <v>675</v>
      </c>
      <c r="O46" s="113" t="s">
        <v>2761</v>
      </c>
    </row>
    <row r="47" spans="1:15" ht="27" customHeight="1">
      <c r="A47" s="5">
        <v>45991</v>
      </c>
      <c r="B47" s="18" t="s">
        <v>15</v>
      </c>
      <c r="C47" s="16" t="s">
        <v>16</v>
      </c>
      <c r="D47" s="7" t="s">
        <v>3064</v>
      </c>
      <c r="E47" s="66" t="s">
        <v>3065</v>
      </c>
      <c r="F47" s="85" t="str">
        <f>HYPERLINK("https://drive.google.com/file/d/1JtCZQ_MCnYicKkqzMDDiJNkeq65T06VA/view?usp=drivesdk","https://drive.google.com/file/d/1JtCZQ_MCnYicKkqzMDDiJNkeq65T06VA/view?usp=drivesdk")</f>
        <v>https://drive.google.com/file/d/1JtCZQ_MCnYicKkqzMDDiJNkeq65T06VA/view?usp=drivesdk</v>
      </c>
      <c r="G47" s="7" t="s">
        <v>3066</v>
      </c>
      <c r="H47" s="73" t="s">
        <v>3254</v>
      </c>
      <c r="I47" s="10" t="s">
        <v>141</v>
      </c>
      <c r="J47" s="8">
        <v>30</v>
      </c>
      <c r="K47" s="8">
        <v>131</v>
      </c>
      <c r="L47" s="11" t="s">
        <v>1149</v>
      </c>
      <c r="M47" s="26" t="s">
        <v>22</v>
      </c>
      <c r="N47" s="44" t="s">
        <v>675</v>
      </c>
      <c r="O47" s="113" t="s">
        <v>2761</v>
      </c>
    </row>
    <row r="48" spans="1:15">
      <c r="A48" s="5">
        <v>45990</v>
      </c>
      <c r="B48" s="18" t="s">
        <v>15</v>
      </c>
      <c r="C48" s="7" t="s">
        <v>151</v>
      </c>
      <c r="D48" s="7" t="s">
        <v>3060</v>
      </c>
      <c r="E48" s="66" t="s">
        <v>3061</v>
      </c>
      <c r="F48" s="85" t="str">
        <f>HYPERLINK("https://drive.google.com/file/d/1sv4D0WnoaLJBmbzrIZ0w81DTnm1kAXUA/view?usp=drivesdk","https://drive.google.com/file/d/1sv4D0WnoaLJBmbzrIZ0w81DTnm1kAXUA/view?usp=drivesdk")</f>
        <v>https://drive.google.com/file/d/1sv4D0WnoaLJBmbzrIZ0w81DTnm1kAXUA/view?usp=drivesdk</v>
      </c>
      <c r="G48" s="7" t="s">
        <v>3062</v>
      </c>
      <c r="H48" s="95" t="s">
        <v>3227</v>
      </c>
      <c r="I48" s="10"/>
      <c r="J48" s="8">
        <v>22.3</v>
      </c>
      <c r="K48" s="8">
        <v>210</v>
      </c>
      <c r="L48" s="11" t="s">
        <v>3063</v>
      </c>
      <c r="M48" s="26" t="s">
        <v>22</v>
      </c>
      <c r="N48" s="44" t="s">
        <v>602</v>
      </c>
      <c r="O48" s="113" t="s">
        <v>2895</v>
      </c>
    </row>
    <row r="49" spans="1:15" ht="27">
      <c r="A49" s="5">
        <v>45989</v>
      </c>
      <c r="B49" s="20" t="s">
        <v>1632</v>
      </c>
      <c r="C49" s="16" t="s">
        <v>1633</v>
      </c>
      <c r="D49" s="7" t="s">
        <v>3057</v>
      </c>
      <c r="E49" s="66" t="s">
        <v>3058</v>
      </c>
      <c r="F49" s="85" t="str">
        <f>HYPERLINK("https://drive.google.com/file/d/1Pz7SDf8t0SDBCUef-S4jaVP8-Vny8twZ/view?usp=drivesdk","https://drive.google.com/file/d/1Pz7SDf8t0SDBCUef-S4jaVP8-Vny8twZ/view?usp=drivesdk")</f>
        <v>https://drive.google.com/file/d/1Pz7SDf8t0SDBCUef-S4jaVP8-Vny8twZ/view?usp=drivesdk</v>
      </c>
      <c r="G49" s="7" t="s">
        <v>3059</v>
      </c>
      <c r="H49" s="95" t="s">
        <v>3227</v>
      </c>
      <c r="I49" s="15" t="s">
        <v>404</v>
      </c>
      <c r="J49" s="8">
        <v>2.5</v>
      </c>
      <c r="K49" s="8">
        <v>40</v>
      </c>
      <c r="L49" s="11" t="s">
        <v>2822</v>
      </c>
      <c r="M49" s="39" t="s">
        <v>265</v>
      </c>
      <c r="N49" s="39" t="s">
        <v>265</v>
      </c>
      <c r="O49" s="38" t="s">
        <v>265</v>
      </c>
    </row>
    <row r="50" spans="1:15">
      <c r="A50" s="5">
        <v>45988</v>
      </c>
      <c r="B50" s="18" t="s">
        <v>15</v>
      </c>
      <c r="C50" s="16" t="s">
        <v>16</v>
      </c>
      <c r="D50" s="7" t="s">
        <v>3053</v>
      </c>
      <c r="E50" s="66" t="s">
        <v>3054</v>
      </c>
      <c r="F50" s="85" t="str">
        <f>HYPERLINK("https://drive.google.com/file/d/1TbZpXY-hFVI6WXs0zerZXSEDRpYSpEVT/view?usp=drivesdk","https://drive.google.com/file/d/1TbZpXY-hFVI6WXs0zerZXSEDRpYSpEVT/view?usp=drivesdk")</f>
        <v>https://drive.google.com/file/d/1TbZpXY-hFVI6WXs0zerZXSEDRpYSpEVT/view?usp=drivesdk</v>
      </c>
      <c r="G50" s="7" t="s">
        <v>3055</v>
      </c>
      <c r="H50" s="95" t="s">
        <v>3227</v>
      </c>
      <c r="I50" s="15" t="s">
        <v>404</v>
      </c>
      <c r="J50" s="8">
        <v>9.6999999999999993</v>
      </c>
      <c r="K50" s="8">
        <v>118</v>
      </c>
      <c r="L50" s="11" t="s">
        <v>3056</v>
      </c>
      <c r="M50" s="39" t="s">
        <v>330</v>
      </c>
      <c r="N50" s="43" t="s">
        <v>331</v>
      </c>
      <c r="O50" s="42" t="s">
        <v>332</v>
      </c>
    </row>
    <row r="51" spans="1:15">
      <c r="A51" s="5">
        <v>45982</v>
      </c>
      <c r="B51" s="18" t="s">
        <v>15</v>
      </c>
      <c r="C51" s="16" t="s">
        <v>16</v>
      </c>
      <c r="D51" s="7" t="s">
        <v>3050</v>
      </c>
      <c r="E51" s="66" t="s">
        <v>3051</v>
      </c>
      <c r="F51" s="85" t="str">
        <f>HYPERLINK("https://drive.google.com/file/d/1Gxpr4Tma_CGX00Z5UgAJ4iizOMdzYv0I/view?usp=drivesdk","https://drive.google.com/file/d/1Gxpr4Tma_CGX00Z5UgAJ4iizOMdzYv0I/view?usp=drivesdk")</f>
        <v>https://drive.google.com/file/d/1Gxpr4Tma_CGX00Z5UgAJ4iizOMdzYv0I/view?usp=drivesdk</v>
      </c>
      <c r="G51" s="7" t="s">
        <v>3052</v>
      </c>
      <c r="H51" s="95" t="s">
        <v>3227</v>
      </c>
      <c r="I51" s="15" t="s">
        <v>404</v>
      </c>
      <c r="J51" s="8">
        <v>69.3</v>
      </c>
      <c r="K51" s="8">
        <v>573</v>
      </c>
      <c r="L51" s="11" t="s">
        <v>2265</v>
      </c>
      <c r="M51" s="39" t="s">
        <v>22</v>
      </c>
      <c r="N51" s="43" t="s">
        <v>675</v>
      </c>
      <c r="O51" s="42" t="s">
        <v>1584</v>
      </c>
    </row>
    <row r="52" spans="1:15" ht="27">
      <c r="A52" s="5">
        <v>45980</v>
      </c>
      <c r="B52" s="18" t="s">
        <v>15</v>
      </c>
      <c r="C52" s="16" t="s">
        <v>16</v>
      </c>
      <c r="D52" s="7" t="s">
        <v>3046</v>
      </c>
      <c r="E52" s="66" t="s">
        <v>3047</v>
      </c>
      <c r="F52" s="85" t="str">
        <f>HYPERLINK("https://drive.google.com/file/d/1NHLQpAj4RP983WHtREBcOaW8g6eZXHhU/view?usp=drivesdk","https://drive.google.com/file/d/1NHLQpAj4RP983WHtREBcOaW8g6eZXHhU/view?usp=drivesdk")</f>
        <v>https://drive.google.com/file/d/1NHLQpAj4RP983WHtREBcOaW8g6eZXHhU/view?usp=drivesdk</v>
      </c>
      <c r="G52" s="7" t="s">
        <v>3048</v>
      </c>
      <c r="H52" s="95" t="s">
        <v>3227</v>
      </c>
      <c r="I52" s="15" t="s">
        <v>404</v>
      </c>
      <c r="J52" s="8">
        <v>28.7</v>
      </c>
      <c r="K52" s="8">
        <v>324</v>
      </c>
      <c r="L52" s="11" t="s">
        <v>3049</v>
      </c>
      <c r="M52" s="39" t="s">
        <v>102</v>
      </c>
      <c r="N52" s="43" t="s">
        <v>194</v>
      </c>
      <c r="O52" s="42" t="s">
        <v>195</v>
      </c>
    </row>
    <row r="53" spans="1:15" ht="27" customHeight="1">
      <c r="A53" s="5">
        <v>45976</v>
      </c>
      <c r="B53" s="18" t="s">
        <v>15</v>
      </c>
      <c r="C53" s="16" t="s">
        <v>16</v>
      </c>
      <c r="D53" s="7" t="s">
        <v>3042</v>
      </c>
      <c r="E53" s="66" t="s">
        <v>3043</v>
      </c>
      <c r="F53" s="85" t="str">
        <f>HYPERLINK("https://drive.google.com/file/d/1C_EaO8iZ96OJgVVnTVZRaxSFIGEan6dD/view?usp=drivesdk","https://drive.google.com/file/d/1C_EaO8iZ96OJgVVnTVZRaxSFIGEan6dD/view?usp=drivesdk")</f>
        <v>https://drive.google.com/file/d/1C_EaO8iZ96OJgVVnTVZRaxSFIGEan6dD/view?usp=drivesdk</v>
      </c>
      <c r="G53" s="7" t="s">
        <v>3044</v>
      </c>
      <c r="H53" s="95" t="s">
        <v>3227</v>
      </c>
      <c r="I53" s="15" t="s">
        <v>404</v>
      </c>
      <c r="J53" s="8">
        <v>41.8</v>
      </c>
      <c r="K53" s="8">
        <v>464</v>
      </c>
      <c r="L53" s="11" t="s">
        <v>3045</v>
      </c>
      <c r="M53" s="26" t="s">
        <v>22</v>
      </c>
      <c r="N53" s="44" t="s">
        <v>602</v>
      </c>
      <c r="O53" s="113" t="s">
        <v>2895</v>
      </c>
    </row>
    <row r="54" spans="1:15">
      <c r="A54" s="5">
        <v>45975</v>
      </c>
      <c r="B54" s="19" t="s">
        <v>1678</v>
      </c>
      <c r="C54" s="23" t="s">
        <v>1336</v>
      </c>
      <c r="D54" s="7" t="s">
        <v>2799</v>
      </c>
      <c r="E54" s="66" t="s">
        <v>3038</v>
      </c>
      <c r="F54" s="85" t="str">
        <f>HYPERLINK("https://drive.google.com/file/d/1uAcRMTCRDiOpYJZvzNif-aCJM0A9VH3l/view?usp=drivesdk","https://drive.google.com/file/d/1uAcRMTCRDiOpYJZvzNif-aCJM0A9VH3l/view?usp=drivesdk")</f>
        <v>https://drive.google.com/file/d/1uAcRMTCRDiOpYJZvzNif-aCJM0A9VH3l/view?usp=drivesdk</v>
      </c>
      <c r="G54" s="7" t="s">
        <v>2801</v>
      </c>
      <c r="H54" s="95" t="s">
        <v>3275</v>
      </c>
      <c r="I54" s="10"/>
      <c r="J54" s="8">
        <v>8.6999999999999993</v>
      </c>
      <c r="K54" s="8">
        <v>633</v>
      </c>
      <c r="L54" s="11" t="s">
        <v>2767</v>
      </c>
      <c r="M54" s="39" t="s">
        <v>265</v>
      </c>
      <c r="N54" s="39" t="s">
        <v>265</v>
      </c>
      <c r="O54" s="38" t="s">
        <v>265</v>
      </c>
    </row>
    <row r="55" spans="1:15">
      <c r="A55" s="5">
        <v>45975</v>
      </c>
      <c r="B55" s="20" t="s">
        <v>1632</v>
      </c>
      <c r="C55" s="16" t="s">
        <v>1633</v>
      </c>
      <c r="D55" s="7" t="s">
        <v>3039</v>
      </c>
      <c r="E55" s="66" t="s">
        <v>3040</v>
      </c>
      <c r="F55" s="85" t="str">
        <f>HYPERLINK("https://drive.google.com/file/d/1YaiHnjR5-fPSmT5XwLzFt4YOZU1w1gCd/view?usp=drivesdk","https://drive.google.com/file/d/1YaiHnjR5-fPSmT5XwLzFt4YOZU1w1gCd/view?usp=drivesdk")</f>
        <v>https://drive.google.com/file/d/1YaiHnjR5-fPSmT5XwLzFt4YOZU1w1gCd/view?usp=drivesdk</v>
      </c>
      <c r="G55" s="7" t="s">
        <v>3039</v>
      </c>
      <c r="H55" s="95" t="s">
        <v>3227</v>
      </c>
      <c r="I55" s="15" t="s">
        <v>404</v>
      </c>
      <c r="J55" s="8">
        <v>5.2</v>
      </c>
      <c r="K55" s="8">
        <v>244</v>
      </c>
      <c r="L55" s="11" t="s">
        <v>3041</v>
      </c>
      <c r="M55" s="39" t="s">
        <v>265</v>
      </c>
      <c r="N55" s="39" t="s">
        <v>265</v>
      </c>
      <c r="O55" s="38" t="s">
        <v>265</v>
      </c>
    </row>
    <row r="56" spans="1:15" ht="18.75" customHeight="1">
      <c r="A56" s="5">
        <v>45974</v>
      </c>
      <c r="B56" s="20" t="s">
        <v>1632</v>
      </c>
      <c r="C56" s="23" t="s">
        <v>1633</v>
      </c>
      <c r="D56" s="7" t="s">
        <v>3032</v>
      </c>
      <c r="E56" s="66" t="s">
        <v>3033</v>
      </c>
      <c r="F56" s="85" t="str">
        <f>HYPERLINK("https://drive.google.com/file/d/13seh3bKUXLq1n3pedddc4_5JkW9eKV4J/view?usp=drivesdk","https://drive.google.com/file/d/13seh3bKUXLq1n3pedddc4_5JkW9eKV4J/view?usp=drivesdk")</f>
        <v>https://drive.google.com/file/d/13seh3bKUXLq1n3pedddc4_5JkW9eKV4J/view?usp=drivesdk</v>
      </c>
      <c r="G56" s="7" t="s">
        <v>3032</v>
      </c>
      <c r="H56" s="95" t="s">
        <v>3275</v>
      </c>
      <c r="I56" s="15" t="s">
        <v>404</v>
      </c>
      <c r="J56" s="8">
        <v>6.2</v>
      </c>
      <c r="K56" s="8">
        <v>395</v>
      </c>
      <c r="L56" s="11" t="s">
        <v>3034</v>
      </c>
      <c r="M56" s="39" t="s">
        <v>265</v>
      </c>
      <c r="N56" s="39" t="s">
        <v>265</v>
      </c>
      <c r="O56" s="38" t="s">
        <v>265</v>
      </c>
    </row>
    <row r="57" spans="1:15" ht="27" customHeight="1">
      <c r="A57" s="5">
        <v>45974</v>
      </c>
      <c r="B57" s="19" t="s">
        <v>1678</v>
      </c>
      <c r="C57" s="23" t="s">
        <v>1336</v>
      </c>
      <c r="D57" s="7" t="s">
        <v>3035</v>
      </c>
      <c r="E57" s="66" t="s">
        <v>3036</v>
      </c>
      <c r="F57" s="85" t="str">
        <f>HYPERLINK("https://drive.google.com/file/d/10la9sUGIN-4_-hu1yse-XPsGvke8im1A/view?usp=drivesdk","https://drive.google.com/file/d/10la9sUGIN-4_-hu1yse-XPsGvke8im1A/view?usp=drivesdk")</f>
        <v>https://drive.google.com/file/d/10la9sUGIN-4_-hu1yse-XPsGvke8im1A/view?usp=drivesdk</v>
      </c>
      <c r="G57" s="7" t="s">
        <v>3037</v>
      </c>
      <c r="H57" s="95" t="s">
        <v>3275</v>
      </c>
      <c r="I57" s="10"/>
      <c r="J57" s="8">
        <v>3.6</v>
      </c>
      <c r="K57" s="8">
        <v>274</v>
      </c>
      <c r="L57" s="11" t="s">
        <v>2632</v>
      </c>
      <c r="M57" s="39" t="s">
        <v>265</v>
      </c>
      <c r="N57" s="39" t="s">
        <v>265</v>
      </c>
      <c r="O57" s="38" t="s">
        <v>265</v>
      </c>
    </row>
    <row r="58" spans="1:15" ht="27" customHeight="1">
      <c r="A58" s="5">
        <v>45973</v>
      </c>
      <c r="B58" s="19" t="s">
        <v>1678</v>
      </c>
      <c r="C58" s="23" t="s">
        <v>1336</v>
      </c>
      <c r="D58" s="7" t="s">
        <v>3025</v>
      </c>
      <c r="E58" s="66" t="s">
        <v>3026</v>
      </c>
      <c r="F58" s="85" t="str">
        <f>HYPERLINK("https://drive.google.com/file/d/12Ix0f31klrjIN5emag6XKA1sf490ogfc/view?usp=drivesdk","https://drive.google.com/file/d/12Ix0f31klrjIN5emag6XKA1sf490ogfc/view?usp=drivesdk")</f>
        <v>https://drive.google.com/file/d/12Ix0f31klrjIN5emag6XKA1sf490ogfc/view?usp=drivesdk</v>
      </c>
      <c r="G58" s="7" t="s">
        <v>3027</v>
      </c>
      <c r="H58" s="95" t="s">
        <v>3227</v>
      </c>
      <c r="I58" s="10"/>
      <c r="J58" s="8">
        <v>6.7</v>
      </c>
      <c r="K58" s="8">
        <v>536</v>
      </c>
      <c r="L58" s="11" t="s">
        <v>2195</v>
      </c>
      <c r="M58" s="39" t="s">
        <v>265</v>
      </c>
      <c r="N58" s="39" t="s">
        <v>265</v>
      </c>
      <c r="O58" s="38" t="s">
        <v>265</v>
      </c>
    </row>
    <row r="59" spans="1:15">
      <c r="A59" s="5">
        <v>45973</v>
      </c>
      <c r="B59" s="19" t="s">
        <v>1678</v>
      </c>
      <c r="C59" s="23" t="s">
        <v>1336</v>
      </c>
      <c r="D59" s="7" t="s">
        <v>3028</v>
      </c>
      <c r="E59" s="66" t="s">
        <v>3029</v>
      </c>
      <c r="F59" s="85" t="str">
        <f>HYPERLINK("https://drive.google.com/file/d/1Gz-1jyXhtvvsLFKjdsMX8RY19txinURR/view?usp=drivesdk","https://drive.google.com/file/d/1Gz-1jyXhtvvsLFKjdsMX8RY19txinURR/view?usp=drivesdk")</f>
        <v>https://drive.google.com/file/d/1Gz-1jyXhtvvsLFKjdsMX8RY19txinURR/view?usp=drivesdk</v>
      </c>
      <c r="G59" s="7" t="s">
        <v>3030</v>
      </c>
      <c r="H59" s="95" t="s">
        <v>3275</v>
      </c>
      <c r="I59" s="10"/>
      <c r="J59" s="8">
        <v>4.2</v>
      </c>
      <c r="K59" s="8">
        <v>379</v>
      </c>
      <c r="L59" s="11" t="s">
        <v>3031</v>
      </c>
      <c r="M59" s="39" t="s">
        <v>265</v>
      </c>
      <c r="N59" s="39" t="s">
        <v>265</v>
      </c>
      <c r="O59" s="39" t="s">
        <v>265</v>
      </c>
    </row>
    <row r="60" spans="1:15" ht="27" customHeight="1">
      <c r="A60" s="5">
        <v>45971</v>
      </c>
      <c r="B60" s="18" t="s">
        <v>15</v>
      </c>
      <c r="C60" s="23" t="s">
        <v>16</v>
      </c>
      <c r="D60" s="7" t="s">
        <v>3022</v>
      </c>
      <c r="E60" s="66" t="s">
        <v>3023</v>
      </c>
      <c r="F60" s="85" t="str">
        <f>HYPERLINK("https://drive.google.com/file/d/1_PrL17BgUTNDKqTMUGn0Fio-aWh2qMfa/view?usp=drivesdk","https://drive.google.com/file/d/1_PrL17BgUTNDKqTMUGn0Fio-aWh2qMfa/view?usp=drivesdk")</f>
        <v>https://drive.google.com/file/d/1_PrL17BgUTNDKqTMUGn0Fio-aWh2qMfa/view?usp=drivesdk</v>
      </c>
      <c r="G60" s="7" t="s">
        <v>3024</v>
      </c>
      <c r="H60" s="95" t="s">
        <v>3227</v>
      </c>
      <c r="I60" s="10"/>
      <c r="J60" s="8">
        <v>95.5</v>
      </c>
      <c r="K60" s="8">
        <v>1582</v>
      </c>
      <c r="L60" s="11" t="s">
        <v>2080</v>
      </c>
      <c r="M60" s="26" t="s">
        <v>22</v>
      </c>
      <c r="N60" s="44" t="s">
        <v>602</v>
      </c>
      <c r="O60" s="113" t="s">
        <v>2895</v>
      </c>
    </row>
    <row r="61" spans="1:15" ht="27">
      <c r="A61" s="5">
        <v>45969</v>
      </c>
      <c r="B61" s="19" t="s">
        <v>1678</v>
      </c>
      <c r="C61" s="23" t="s">
        <v>1336</v>
      </c>
      <c r="D61" s="7" t="s">
        <v>3018</v>
      </c>
      <c r="E61" s="66" t="s">
        <v>3019</v>
      </c>
      <c r="F61" s="85" t="str">
        <f>HYPERLINK("https://drive.google.com/file/d/1DC_MtVNFk5ShfYM7FOuv_X-4mbT2U9g4/view?usp=drivesdk","https://drive.google.com/file/d/1DC_MtVNFk5ShfYM7FOuv_X-4mbT2U9g4/view?usp=drivesdk")</f>
        <v>https://drive.google.com/file/d/1DC_MtVNFk5ShfYM7FOuv_X-4mbT2U9g4/view?usp=drivesdk</v>
      </c>
      <c r="G61" s="7" t="s">
        <v>3020</v>
      </c>
      <c r="H61" s="95" t="s">
        <v>3227</v>
      </c>
      <c r="I61" s="10"/>
      <c r="J61" s="8">
        <v>2.6</v>
      </c>
      <c r="K61" s="8">
        <v>306</v>
      </c>
      <c r="L61" s="11" t="s">
        <v>3021</v>
      </c>
      <c r="M61" s="39" t="s">
        <v>265</v>
      </c>
      <c r="N61" s="39" t="s">
        <v>265</v>
      </c>
      <c r="O61" s="39" t="s">
        <v>265</v>
      </c>
    </row>
    <row r="62" spans="1:15" ht="40.5">
      <c r="A62" s="5">
        <v>45967</v>
      </c>
      <c r="B62" s="18" t="s">
        <v>15</v>
      </c>
      <c r="C62" s="23" t="s">
        <v>16</v>
      </c>
      <c r="D62" s="7" t="s">
        <v>3015</v>
      </c>
      <c r="E62" s="66" t="s">
        <v>3016</v>
      </c>
      <c r="F62" s="85" t="str">
        <f>HYPERLINK("https://drive.google.com/file/d/1-cw_T9fmamstSIXpkNQyk1f2QAJRy_q7/view?usp=drivesdk","https://drive.google.com/file/d/1-cw_T9fmamstSIXpkNQyk1f2QAJRy_q7/view?usp=drivesdk")</f>
        <v>https://drive.google.com/file/d/1-cw_T9fmamstSIXpkNQyk1f2QAJRy_q7/view?usp=drivesdk</v>
      </c>
      <c r="G62" s="7" t="s">
        <v>3017</v>
      </c>
      <c r="H62" s="95" t="s">
        <v>3306</v>
      </c>
      <c r="I62" s="10"/>
      <c r="J62" s="8">
        <v>94.3</v>
      </c>
      <c r="K62" s="8">
        <v>1781</v>
      </c>
      <c r="L62" s="11" t="s">
        <v>2080</v>
      </c>
      <c r="M62" s="26" t="s">
        <v>22</v>
      </c>
      <c r="N62" s="44" t="s">
        <v>602</v>
      </c>
      <c r="O62" s="44" t="s">
        <v>2895</v>
      </c>
    </row>
    <row r="63" spans="1:15" ht="27">
      <c r="A63" s="5">
        <v>45964</v>
      </c>
      <c r="B63" s="19" t="s">
        <v>1678</v>
      </c>
      <c r="C63" s="23" t="s">
        <v>1336</v>
      </c>
      <c r="D63" s="7" t="s">
        <v>3012</v>
      </c>
      <c r="E63" s="66" t="s">
        <v>3013</v>
      </c>
      <c r="F63" s="85" t="str">
        <f>HYPERLINK("https://drive.google.com/file/d/1IxNI5g67YQPL_BcUXX2wsHZiBlhsthVu/view?usp=drivesdk","https://drive.google.com/file/d/1IxNI5g67YQPL_BcUXX2wsHZiBlhsthVu/view?usp=drivesdk")</f>
        <v>https://drive.google.com/file/d/1IxNI5g67YQPL_BcUXX2wsHZiBlhsthVu/view?usp=drivesdk</v>
      </c>
      <c r="G63" s="7" t="s">
        <v>3014</v>
      </c>
      <c r="H63" s="73" t="s">
        <v>3254</v>
      </c>
      <c r="I63" s="10"/>
      <c r="J63" s="8">
        <v>7</v>
      </c>
      <c r="K63" s="8">
        <v>664</v>
      </c>
      <c r="L63" s="11" t="s">
        <v>2825</v>
      </c>
      <c r="M63" s="39" t="s">
        <v>265</v>
      </c>
      <c r="N63" s="39" t="s">
        <v>265</v>
      </c>
      <c r="O63" s="38" t="s">
        <v>265</v>
      </c>
    </row>
    <row r="64" spans="1:15">
      <c r="A64" s="5">
        <v>45962</v>
      </c>
      <c r="B64" s="18" t="s">
        <v>15</v>
      </c>
      <c r="C64" s="23" t="s">
        <v>16</v>
      </c>
      <c r="D64" s="7" t="s">
        <v>3008</v>
      </c>
      <c r="E64" s="66" t="s">
        <v>3009</v>
      </c>
      <c r="F64" s="85" t="str">
        <f>HYPERLINK("https://drive.google.com/file/d/1o2Vi-G2rX3kIWLdRfZefKZS4K3OXIKIG/view?usp=drivesdk","https://drive.google.com/file/d/1o2Vi-G2rX3kIWLdRfZefKZS4K3OXIKIG/view?usp=drivesdk")</f>
        <v>https://drive.google.com/file/d/1o2Vi-G2rX3kIWLdRfZefKZS4K3OXIKIG/view?usp=drivesdk</v>
      </c>
      <c r="G64" s="7" t="s">
        <v>3010</v>
      </c>
      <c r="H64" s="95" t="s">
        <v>3227</v>
      </c>
      <c r="I64" s="10"/>
      <c r="J64" s="8">
        <v>86</v>
      </c>
      <c r="K64" s="8">
        <v>647</v>
      </c>
      <c r="L64" s="11" t="s">
        <v>3011</v>
      </c>
      <c r="M64" s="26" t="s">
        <v>22</v>
      </c>
      <c r="N64" s="44" t="s">
        <v>602</v>
      </c>
      <c r="O64" s="113" t="s">
        <v>2895</v>
      </c>
    </row>
    <row r="65" spans="1:15" ht="27">
      <c r="A65" s="5">
        <v>45960</v>
      </c>
      <c r="B65" s="18" t="s">
        <v>15</v>
      </c>
      <c r="C65" s="23" t="s">
        <v>16</v>
      </c>
      <c r="D65" s="7" t="s">
        <v>3004</v>
      </c>
      <c r="E65" s="66" t="s">
        <v>3005</v>
      </c>
      <c r="F65" s="85" t="str">
        <f>HYPERLINK("https://drive.google.com/file/d/1nHMQB9yXqn-uTlfxOZIsPgsPKzcUu0ly/view?usp=drivesdk","https://drive.google.com/file/d/1nHMQB9yXqn-uTlfxOZIsPgsPKzcUu0ly/view?usp=drivesdk")</f>
        <v>https://drive.google.com/file/d/1nHMQB9yXqn-uTlfxOZIsPgsPKzcUu0ly/view?usp=drivesdk</v>
      </c>
      <c r="G65" s="7" t="s">
        <v>3006</v>
      </c>
      <c r="H65" s="73" t="s">
        <v>3254</v>
      </c>
      <c r="I65" s="10"/>
      <c r="J65" s="8">
        <v>94.7</v>
      </c>
      <c r="K65" s="8">
        <v>1317</v>
      </c>
      <c r="L65" s="11" t="s">
        <v>3007</v>
      </c>
      <c r="M65" s="26" t="s">
        <v>22</v>
      </c>
      <c r="N65" s="44" t="s">
        <v>2941</v>
      </c>
      <c r="O65" s="113" t="s">
        <v>2942</v>
      </c>
    </row>
    <row r="66" spans="1:15" ht="54">
      <c r="A66" s="5">
        <v>45959</v>
      </c>
      <c r="B66" s="18" t="s">
        <v>15</v>
      </c>
      <c r="C66" s="23" t="s">
        <v>16</v>
      </c>
      <c r="D66" s="7" t="s">
        <v>3001</v>
      </c>
      <c r="E66" s="66" t="s">
        <v>3002</v>
      </c>
      <c r="F66" s="85" t="str">
        <f>HYPERLINK("https://drive.google.com/file/d/16KsfgosB08E-X04agwcKqCqwA2oMAjnC/view?usp=drivesdk","https://drive.google.com/file/d/16KsfgosB08E-X04agwcKqCqwA2oMAjnC/view?usp=drivesdk")</f>
        <v>https://drive.google.com/file/d/16KsfgosB08E-X04agwcKqCqwA2oMAjnC/view?usp=drivesdk</v>
      </c>
      <c r="G66" s="7" t="s">
        <v>3003</v>
      </c>
      <c r="H66" s="73" t="s">
        <v>3254</v>
      </c>
      <c r="I66" s="10"/>
      <c r="J66" s="8">
        <v>91.4</v>
      </c>
      <c r="K66" s="8">
        <v>1637</v>
      </c>
      <c r="L66" s="11" t="s">
        <v>1513</v>
      </c>
      <c r="M66" s="26" t="s">
        <v>22</v>
      </c>
      <c r="N66" s="44" t="s">
        <v>2941</v>
      </c>
      <c r="O66" s="113" t="s">
        <v>2942</v>
      </c>
    </row>
    <row r="67" spans="1:15" ht="44.25" customHeight="1">
      <c r="A67" s="5">
        <v>45954</v>
      </c>
      <c r="B67" s="6" t="s">
        <v>246</v>
      </c>
      <c r="C67" s="23" t="s">
        <v>1336</v>
      </c>
      <c r="D67" s="7" t="s">
        <v>2999</v>
      </c>
      <c r="E67" s="66" t="s">
        <v>3000</v>
      </c>
      <c r="F67" s="85" t="str">
        <f>HYPERLINK("https://drive.google.com/file/d/1Bt-EJ6qdTPVevDQAn6QuwVlPqJt-uNja/view?usp=drivesdk","https://drive.google.com/file/d/1Bt-EJ6qdTPVevDQAn6QuwVlPqJt-uNja/view?usp=drivesdk")</f>
        <v>https://drive.google.com/file/d/1Bt-EJ6qdTPVevDQAn6QuwVlPqJt-uNja/view?usp=drivesdk</v>
      </c>
      <c r="G67" s="7" t="s">
        <v>3327</v>
      </c>
      <c r="H67" s="95" t="s">
        <v>3303</v>
      </c>
      <c r="I67" s="10"/>
      <c r="J67" s="8">
        <v>23.4</v>
      </c>
      <c r="K67" s="8">
        <v>1339</v>
      </c>
      <c r="L67" s="11" t="s">
        <v>1935</v>
      </c>
      <c r="M67" s="26" t="s">
        <v>22</v>
      </c>
      <c r="N67" s="44" t="s">
        <v>2941</v>
      </c>
      <c r="O67" s="113" t="s">
        <v>2942</v>
      </c>
    </row>
    <row r="68" spans="1:15" ht="27">
      <c r="A68" s="5">
        <v>45953</v>
      </c>
      <c r="B68" s="18" t="s">
        <v>15</v>
      </c>
      <c r="C68" s="23" t="s">
        <v>16</v>
      </c>
      <c r="D68" s="7" t="s">
        <v>3308</v>
      </c>
      <c r="E68" s="66" t="s">
        <v>2998</v>
      </c>
      <c r="F68" s="85" t="str">
        <f>HYPERLINK("https://drive.google.com/file/d/1B0DbYls0Gi8mYqwoiIq7eWwplgl1I_9x/view?usp=drivesdk","https://drive.google.com/file/d/1B0DbYls0Gi8mYqwoiIq7eWwplgl1I_9x/view?usp=drivesdk")</f>
        <v>https://drive.google.com/file/d/1B0DbYls0Gi8mYqwoiIq7eWwplgl1I_9x/view?usp=drivesdk</v>
      </c>
      <c r="G68" s="7" t="s">
        <v>3309</v>
      </c>
      <c r="H68" s="95" t="s">
        <v>3303</v>
      </c>
      <c r="I68" s="10"/>
      <c r="J68" s="8">
        <v>109.8</v>
      </c>
      <c r="K68" s="8">
        <v>1805</v>
      </c>
      <c r="L68" s="11" t="s">
        <v>988</v>
      </c>
      <c r="M68" s="26" t="s">
        <v>22</v>
      </c>
      <c r="N68" s="44" t="s">
        <v>2941</v>
      </c>
      <c r="O68" s="113" t="s">
        <v>2942</v>
      </c>
    </row>
    <row r="69" spans="1:15" ht="54">
      <c r="A69" s="5">
        <v>45950</v>
      </c>
      <c r="B69" s="18" t="s">
        <v>15</v>
      </c>
      <c r="C69" s="23" t="s">
        <v>16</v>
      </c>
      <c r="D69" s="7" t="s">
        <v>2995</v>
      </c>
      <c r="E69" s="66" t="s">
        <v>2996</v>
      </c>
      <c r="F69" s="85" t="str">
        <f>HYPERLINK("https://drive.google.com/file/d/1fw3eHYQqJGVq5Nd1M65i-hnmE4jqPoDG/view?usp=drivesdk","https://drive.google.com/file/d/1fw3eHYQqJGVq5Nd1M65i-hnmE4jqPoDG/view?usp=drivesdk")</f>
        <v>https://drive.google.com/file/d/1fw3eHYQqJGVq5Nd1M65i-hnmE4jqPoDG/view?usp=drivesdk</v>
      </c>
      <c r="G69" s="7" t="s">
        <v>2997</v>
      </c>
      <c r="H69" s="73" t="s">
        <v>3227</v>
      </c>
      <c r="I69" s="10"/>
      <c r="J69" s="8">
        <v>90.4</v>
      </c>
      <c r="K69" s="8">
        <v>1028</v>
      </c>
      <c r="L69" s="11" t="s">
        <v>2012</v>
      </c>
      <c r="M69" s="26" t="s">
        <v>22</v>
      </c>
      <c r="N69" s="44" t="s">
        <v>602</v>
      </c>
      <c r="O69" s="113" t="s">
        <v>2895</v>
      </c>
    </row>
    <row r="70" spans="1:15">
      <c r="A70" s="5">
        <v>45949</v>
      </c>
      <c r="B70" s="19" t="s">
        <v>1678</v>
      </c>
      <c r="C70" s="23" t="s">
        <v>1336</v>
      </c>
      <c r="D70" s="7" t="s">
        <v>2992</v>
      </c>
      <c r="E70" s="66" t="s">
        <v>2993</v>
      </c>
      <c r="F70" s="85" t="str">
        <f>HYPERLINK("https://drive.google.com/file/d/1SIX5aEZx0Nr9iACgLJor2VOjRIn4h0Jd/view?usp=drivesdk","https://drive.google.com/file/d/1SIX5aEZx0Nr9iACgLJor2VOjRIn4h0Jd/view?usp=drivesdk")</f>
        <v>https://drive.google.com/file/d/1SIX5aEZx0Nr9iACgLJor2VOjRIn4h0Jd/view?usp=drivesdk</v>
      </c>
      <c r="G70" s="7" t="s">
        <v>2994</v>
      </c>
      <c r="H70" s="73" t="s">
        <v>3227</v>
      </c>
      <c r="I70" s="10"/>
      <c r="J70" s="8">
        <v>4.5</v>
      </c>
      <c r="K70" s="8">
        <v>459</v>
      </c>
      <c r="L70" s="11" t="s">
        <v>2184</v>
      </c>
      <c r="M70" s="39" t="s">
        <v>265</v>
      </c>
      <c r="N70" s="39" t="s">
        <v>265</v>
      </c>
      <c r="O70" s="38" t="s">
        <v>265</v>
      </c>
    </row>
    <row r="71" spans="1:15" ht="54">
      <c r="A71" s="5">
        <v>45943</v>
      </c>
      <c r="B71" s="18" t="s">
        <v>15</v>
      </c>
      <c r="C71" s="23" t="s">
        <v>16</v>
      </c>
      <c r="D71" s="7" t="s">
        <v>2988</v>
      </c>
      <c r="E71" s="66" t="s">
        <v>2989</v>
      </c>
      <c r="F71" s="85" t="str">
        <f>HYPERLINK("https://drive.google.com/file/d/1PSM3bYA2C-YfAjO5GiPV8-nqjardy5bY/view?usp=drivesdk","https://drive.google.com/file/d/1PSM3bYA2C-YfAjO5GiPV8-nqjardy5bY/view?usp=drivesdk")</f>
        <v>https://drive.google.com/file/d/1PSM3bYA2C-YfAjO5GiPV8-nqjardy5bY/view?usp=drivesdk</v>
      </c>
      <c r="G71" s="7" t="s">
        <v>2990</v>
      </c>
      <c r="H71" s="73" t="s">
        <v>3227</v>
      </c>
      <c r="I71" s="10"/>
      <c r="J71" s="8">
        <v>128</v>
      </c>
      <c r="K71" s="8">
        <v>1714</v>
      </c>
      <c r="L71" s="11" t="s">
        <v>2991</v>
      </c>
      <c r="M71" s="26" t="s">
        <v>22</v>
      </c>
      <c r="N71" s="44" t="s">
        <v>2941</v>
      </c>
      <c r="O71" s="113" t="s">
        <v>2942</v>
      </c>
    </row>
    <row r="72" spans="1:15">
      <c r="A72" s="5">
        <v>45941</v>
      </c>
      <c r="B72" s="19" t="s">
        <v>1678</v>
      </c>
      <c r="C72" s="23" t="s">
        <v>1336</v>
      </c>
      <c r="D72" s="7" t="s">
        <v>2668</v>
      </c>
      <c r="E72" s="66" t="s">
        <v>2986</v>
      </c>
      <c r="F72" s="85" t="str">
        <f>HYPERLINK("https://drive.google.com/file/d/16x0bm6JIUx4W8ZTOZ_mpF3EqKL9byERb/view?usp=drivesdk","https://drive.google.com/file/d/16x0bm6JIUx4W8ZTOZ_mpF3EqKL9byERb/view?usp=drivesdk")</f>
        <v>https://drive.google.com/file/d/16x0bm6JIUx4W8ZTOZ_mpF3EqKL9byERb/view?usp=drivesdk</v>
      </c>
      <c r="G72" s="7" t="s">
        <v>2670</v>
      </c>
      <c r="H72" s="95" t="s">
        <v>3254</v>
      </c>
      <c r="I72" s="10"/>
      <c r="J72" s="8">
        <v>6.5</v>
      </c>
      <c r="K72" s="8">
        <v>733</v>
      </c>
      <c r="L72" s="11" t="s">
        <v>2987</v>
      </c>
      <c r="M72" s="39" t="s">
        <v>265</v>
      </c>
      <c r="N72" s="39" t="s">
        <v>265</v>
      </c>
      <c r="O72" s="38" t="s">
        <v>265</v>
      </c>
    </row>
    <row r="73" spans="1:15" ht="18.75" customHeight="1">
      <c r="A73" s="5">
        <v>45937</v>
      </c>
      <c r="B73" s="18" t="s">
        <v>15</v>
      </c>
      <c r="C73" s="23" t="s">
        <v>16</v>
      </c>
      <c r="D73" s="7" t="s">
        <v>2983</v>
      </c>
      <c r="E73" s="66" t="s">
        <v>2984</v>
      </c>
      <c r="F73" s="85" t="str">
        <f>HYPERLINK("https://drive.google.com/file/d/1k9zYkIjocSAD4ZYmOLQRMsSGbIPp3XwU/view?usp=drivesdk","https://drive.google.com/file/d/1k9zYkIjocSAD4ZYmOLQRMsSGbIPp3XwU/view?usp=drivesdk")</f>
        <v>https://drive.google.com/file/d/1k9zYkIjocSAD4ZYmOLQRMsSGbIPp3XwU/view?usp=drivesdk</v>
      </c>
      <c r="G73" s="7" t="s">
        <v>2985</v>
      </c>
      <c r="H73" s="73" t="s">
        <v>3227</v>
      </c>
      <c r="I73" s="10"/>
      <c r="J73" s="8">
        <v>85.5</v>
      </c>
      <c r="K73" s="8">
        <v>1615</v>
      </c>
      <c r="L73" s="11" t="s">
        <v>2543</v>
      </c>
      <c r="M73" s="26" t="s">
        <v>22</v>
      </c>
      <c r="N73" s="44" t="s">
        <v>602</v>
      </c>
      <c r="O73" s="113" t="s">
        <v>2895</v>
      </c>
    </row>
    <row r="74" spans="1:15">
      <c r="A74" s="5">
        <v>45936</v>
      </c>
      <c r="B74" s="18" t="s">
        <v>15</v>
      </c>
      <c r="C74" s="23" t="s">
        <v>16</v>
      </c>
      <c r="D74" s="7" t="s">
        <v>2980</v>
      </c>
      <c r="E74" s="66" t="s">
        <v>2981</v>
      </c>
      <c r="F74" s="85" t="str">
        <f>HYPERLINK("https://drive.google.com/file/d/1nUlvMGjGMML0wPheg-4ulYv7VkNQJVuq/view?usp=drivesdk","https://drive.google.com/file/d/1nUlvMGjGMML0wPheg-4ulYv7VkNQJVuq/view?usp=drivesdk")</f>
        <v>https://drive.google.com/file/d/1nUlvMGjGMML0wPheg-4ulYv7VkNQJVuq/view?usp=drivesdk</v>
      </c>
      <c r="G74" s="7" t="s">
        <v>2980</v>
      </c>
      <c r="H74" s="73" t="s">
        <v>3276</v>
      </c>
      <c r="I74" s="10"/>
      <c r="J74" s="8">
        <v>130.9</v>
      </c>
      <c r="K74" s="8">
        <v>1694</v>
      </c>
      <c r="L74" s="11" t="s">
        <v>2982</v>
      </c>
      <c r="M74" s="26" t="s">
        <v>22</v>
      </c>
      <c r="N74" s="44" t="s">
        <v>2941</v>
      </c>
      <c r="O74" s="113" t="s">
        <v>2942</v>
      </c>
    </row>
    <row r="75" spans="1:15" ht="14.25" customHeight="1">
      <c r="A75" s="5">
        <v>45932</v>
      </c>
      <c r="B75" s="18" t="s">
        <v>15</v>
      </c>
      <c r="C75" s="23" t="s">
        <v>16</v>
      </c>
      <c r="D75" s="7" t="s">
        <v>2977</v>
      </c>
      <c r="E75" s="66" t="s">
        <v>2978</v>
      </c>
      <c r="F75" s="85" t="str">
        <f>HYPERLINK("https://drive.google.com/file/d/1iuoJyXo5rdjEBSS6-OHrSuxD_cHY0rux/view?usp=drivesdk","https://drive.google.com/file/d/1iuoJyXo5rdjEBSS6-OHrSuxD_cHY0rux/view?usp=drivesdk")</f>
        <v>https://drive.google.com/file/d/1iuoJyXo5rdjEBSS6-OHrSuxD_cHY0rux/view?usp=drivesdk</v>
      </c>
      <c r="G75" s="7" t="s">
        <v>175</v>
      </c>
      <c r="H75" s="73" t="s">
        <v>3227</v>
      </c>
      <c r="I75" s="10"/>
      <c r="J75" s="8">
        <v>82.6</v>
      </c>
      <c r="K75" s="8">
        <v>654</v>
      </c>
      <c r="L75" s="11" t="s">
        <v>2979</v>
      </c>
      <c r="M75" s="26" t="s">
        <v>22</v>
      </c>
      <c r="N75" s="44" t="s">
        <v>602</v>
      </c>
      <c r="O75" s="44" t="s">
        <v>2895</v>
      </c>
    </row>
    <row r="76" spans="1:15">
      <c r="A76" s="5">
        <v>45922</v>
      </c>
      <c r="B76" s="18" t="s">
        <v>15</v>
      </c>
      <c r="C76" s="23" t="s">
        <v>16</v>
      </c>
      <c r="D76" s="7" t="s">
        <v>2974</v>
      </c>
      <c r="E76" s="66" t="s">
        <v>2975</v>
      </c>
      <c r="F76" s="85" t="str">
        <f>HYPERLINK("https://drive.google.com/file/d/1U0C2cT_kuF0x2Rt24PcTyh0Zbda7rPKN/view?usp=drivesdk","https://drive.google.com/file/d/1U0C2cT_kuF0x2Rt24PcTyh0Zbda7rPKN/view?usp=drivesdk")</f>
        <v>https://drive.google.com/file/d/1U0C2cT_kuF0x2Rt24PcTyh0Zbda7rPKN/view?usp=drivesdk</v>
      </c>
      <c r="G76" s="7" t="s">
        <v>2976</v>
      </c>
      <c r="H76" s="95" t="s">
        <v>3316</v>
      </c>
      <c r="I76" s="10"/>
      <c r="J76" s="8">
        <v>121.3</v>
      </c>
      <c r="K76" s="8">
        <v>2334</v>
      </c>
      <c r="L76" s="11" t="s">
        <v>2839</v>
      </c>
      <c r="M76" s="26" t="s">
        <v>22</v>
      </c>
      <c r="N76" s="44" t="s">
        <v>602</v>
      </c>
      <c r="O76" s="113" t="s">
        <v>2895</v>
      </c>
    </row>
    <row r="77" spans="1:15" ht="40.5">
      <c r="A77" s="5">
        <v>45921</v>
      </c>
      <c r="B77" s="18" t="s">
        <v>15</v>
      </c>
      <c r="C77" s="23" t="s">
        <v>16</v>
      </c>
      <c r="D77" s="7" t="s">
        <v>2971</v>
      </c>
      <c r="E77" s="66" t="s">
        <v>2972</v>
      </c>
      <c r="F77" s="85" t="str">
        <f>HYPERLINK("https://drive.google.com/file/d/1Bx3oIoG14k1AYyICmbeKEe1fILXJUNdm/view?usp=drivesdk","https://drive.google.com/file/d/1Bx3oIoG14k1AYyICmbeKEe1fILXJUNdm/view?usp=drivesdk")</f>
        <v>https://drive.google.com/file/d/1Bx3oIoG14k1AYyICmbeKEe1fILXJUNdm/view?usp=drivesdk</v>
      </c>
      <c r="G77" s="7" t="s">
        <v>3328</v>
      </c>
      <c r="H77" s="95" t="s">
        <v>3307</v>
      </c>
      <c r="I77" s="10"/>
      <c r="J77" s="8">
        <v>76</v>
      </c>
      <c r="K77" s="8">
        <v>1669</v>
      </c>
      <c r="L77" s="11" t="s">
        <v>2973</v>
      </c>
      <c r="M77" s="26" t="s">
        <v>22</v>
      </c>
      <c r="N77" s="44" t="s">
        <v>2941</v>
      </c>
      <c r="O77" s="113" t="s">
        <v>2942</v>
      </c>
    </row>
    <row r="78" spans="1:15" ht="27">
      <c r="A78" s="5">
        <v>45915</v>
      </c>
      <c r="B78" s="19" t="s">
        <v>1678</v>
      </c>
      <c r="C78" s="23" t="s">
        <v>1336</v>
      </c>
      <c r="D78" s="7" t="s">
        <v>2967</v>
      </c>
      <c r="E78" s="66" t="s">
        <v>2968</v>
      </c>
      <c r="F78" s="85" t="str">
        <f>HYPERLINK("https://drive.google.com/file/d/1Goxe-s0a3PFztVRu1OYqEzNl-TvFeXH-/view?usp=drivesdk","https://drive.google.com/file/d/1Goxe-s0a3PFztVRu1OYqEzNl-TvFeXH-/view?usp=drivesdk")</f>
        <v>https://drive.google.com/file/d/1Goxe-s0a3PFztVRu1OYqEzNl-TvFeXH-/view?usp=drivesdk</v>
      </c>
      <c r="G78" s="7" t="s">
        <v>2969</v>
      </c>
      <c r="H78" s="73" t="s">
        <v>3227</v>
      </c>
      <c r="I78" s="10"/>
      <c r="J78" s="8">
        <v>4</v>
      </c>
      <c r="K78" s="8">
        <v>394</v>
      </c>
      <c r="L78" s="11" t="s">
        <v>2970</v>
      </c>
      <c r="M78" s="39" t="s">
        <v>265</v>
      </c>
      <c r="N78" s="39" t="s">
        <v>265</v>
      </c>
      <c r="O78" s="38" t="s">
        <v>265</v>
      </c>
    </row>
    <row r="79" spans="1:15" ht="54">
      <c r="A79" s="5">
        <v>45913</v>
      </c>
      <c r="B79" s="18" t="s">
        <v>15</v>
      </c>
      <c r="C79" s="23" t="s">
        <v>16</v>
      </c>
      <c r="D79" s="7" t="s">
        <v>2964</v>
      </c>
      <c r="E79" s="66" t="s">
        <v>2965</v>
      </c>
      <c r="F79" s="85" t="str">
        <f>HYPERLINK("https://drive.google.com/file/d/1h22DJeQRYHpycarSfPnGFX5Zxaqpwseh/view?usp=drivesdk","https://drive.google.com/file/d/1h22DJeQRYHpycarSfPnGFX5Zxaqpwseh/view?usp=drivesdk")</f>
        <v>https://drive.google.com/file/d/1h22DJeQRYHpycarSfPnGFX5Zxaqpwseh/view?usp=drivesdk</v>
      </c>
      <c r="G79" s="7" t="s">
        <v>2966</v>
      </c>
      <c r="H79" s="95" t="s">
        <v>3228</v>
      </c>
      <c r="I79" s="10"/>
      <c r="J79" s="8">
        <v>104.6</v>
      </c>
      <c r="K79" s="8">
        <v>1730</v>
      </c>
      <c r="L79" s="11" t="s">
        <v>2501</v>
      </c>
      <c r="M79" s="26" t="s">
        <v>22</v>
      </c>
      <c r="N79" s="44" t="s">
        <v>602</v>
      </c>
      <c r="O79" s="113" t="s">
        <v>2895</v>
      </c>
    </row>
    <row r="80" spans="1:15" ht="27">
      <c r="A80" s="5">
        <v>45909</v>
      </c>
      <c r="B80" s="20" t="s">
        <v>1632</v>
      </c>
      <c r="C80" s="34" t="s">
        <v>1633</v>
      </c>
      <c r="D80" s="7" t="s">
        <v>2215</v>
      </c>
      <c r="E80" s="66" t="s">
        <v>2961</v>
      </c>
      <c r="F80" s="85" t="str">
        <f>HYPERLINK("https://drive.google.com/file/d/1_S_y0Mf88EXb1TPeKj_EdwadKCC3G9xW/view?usp=drivesdk","https://drive.google.com/file/d/1_S_y0Mf88EXb1TPeKj_EdwadKCC3G9xW/view?usp=drivesdk")</f>
        <v>https://drive.google.com/file/d/1_S_y0Mf88EXb1TPeKj_EdwadKCC3G9xW/view?usp=drivesdk</v>
      </c>
      <c r="G80" s="7" t="s">
        <v>2962</v>
      </c>
      <c r="H80" s="95" t="s">
        <v>3254</v>
      </c>
      <c r="I80" s="10"/>
      <c r="J80" s="8">
        <v>8.3000000000000007</v>
      </c>
      <c r="K80" s="8">
        <v>96</v>
      </c>
      <c r="L80" s="11" t="s">
        <v>2963</v>
      </c>
      <c r="M80" s="39" t="s">
        <v>265</v>
      </c>
      <c r="N80" s="39" t="s">
        <v>265</v>
      </c>
      <c r="O80" s="38" t="s">
        <v>265</v>
      </c>
    </row>
    <row r="81" spans="1:15">
      <c r="A81" s="5">
        <v>45883</v>
      </c>
      <c r="B81" s="18" t="s">
        <v>15</v>
      </c>
      <c r="C81" s="23" t="s">
        <v>16</v>
      </c>
      <c r="D81" s="7" t="s">
        <v>2959</v>
      </c>
      <c r="E81" s="66" t="s">
        <v>2960</v>
      </c>
      <c r="F81" s="85" t="str">
        <f>HYPERLINK("https://drive.google.com/file/d/1uYU6KFKXKINAz3fs2ly2XkvCOf_7qPk1/view?usp=drivesdk","https://drive.google.com/file/d/1uYU6KFKXKINAz3fs2ly2XkvCOf_7qPk1/view?usp=drivesdk")</f>
        <v>https://drive.google.com/file/d/1uYU6KFKXKINAz3fs2ly2XkvCOf_7qPk1/view?usp=drivesdk</v>
      </c>
      <c r="G81" s="7" t="s">
        <v>2959</v>
      </c>
      <c r="H81" s="95" t="s">
        <v>3276</v>
      </c>
      <c r="I81" s="10"/>
      <c r="J81" s="8">
        <v>89.5</v>
      </c>
      <c r="K81" s="8">
        <v>819</v>
      </c>
      <c r="L81" s="11" t="s">
        <v>1270</v>
      </c>
      <c r="M81" s="26" t="s">
        <v>22</v>
      </c>
      <c r="N81" s="44" t="s">
        <v>602</v>
      </c>
      <c r="O81" s="113" t="s">
        <v>2895</v>
      </c>
    </row>
    <row r="82" spans="1:15" ht="27" customHeight="1">
      <c r="A82" s="5">
        <v>45868</v>
      </c>
      <c r="B82" s="19" t="s">
        <v>1678</v>
      </c>
      <c r="C82" s="23" t="s">
        <v>1336</v>
      </c>
      <c r="D82" s="7" t="s">
        <v>2955</v>
      </c>
      <c r="E82" s="66" t="s">
        <v>2956</v>
      </c>
      <c r="F82" s="85" t="str">
        <f>HYPERLINK("https://drive.google.com/file/d/1YUzuTKAOTM8hgpmg5J2Rs1FncZsC4uAz/view?usp=drivesdk","https://drive.google.com/file/d/1YUzuTKAOTM8hgpmg5J2Rs1FncZsC4uAz/view?usp=drivesdk")</f>
        <v>https://drive.google.com/file/d/1YUzuTKAOTM8hgpmg5J2Rs1FncZsC4uAz/view?usp=drivesdk</v>
      </c>
      <c r="G82" s="7" t="s">
        <v>2957</v>
      </c>
      <c r="H82" s="95" t="s">
        <v>3262</v>
      </c>
      <c r="I82" s="10" t="s">
        <v>1886</v>
      </c>
      <c r="J82" s="8">
        <v>28</v>
      </c>
      <c r="K82" s="8">
        <v>3387</v>
      </c>
      <c r="L82" s="11" t="s">
        <v>2958</v>
      </c>
      <c r="M82" s="39" t="s">
        <v>265</v>
      </c>
      <c r="N82" s="39" t="s">
        <v>265</v>
      </c>
      <c r="O82" s="38" t="s">
        <v>265</v>
      </c>
    </row>
    <row r="83" spans="1:15">
      <c r="A83" s="5">
        <v>45864</v>
      </c>
      <c r="B83" s="19" t="s">
        <v>1678</v>
      </c>
      <c r="C83" s="23" t="s">
        <v>1336</v>
      </c>
      <c r="D83" s="7" t="s">
        <v>2951</v>
      </c>
      <c r="E83" s="66" t="s">
        <v>2952</v>
      </c>
      <c r="F83" s="85" t="str">
        <f>HYPERLINK("https://drive.google.com/file/d/1nmjWyNNmXzdEe-1lFJaO1D3zuItrIeXf/view?usp=drivesdk","https://drive.google.com/file/d/1nmjWyNNmXzdEe-1lFJaO1D3zuItrIeXf/view?usp=drivesdk")</f>
        <v>https://drive.google.com/file/d/1nmjWyNNmXzdEe-1lFJaO1D3zuItrIeXf/view?usp=drivesdk</v>
      </c>
      <c r="G83" s="7" t="s">
        <v>2953</v>
      </c>
      <c r="H83" s="73" t="s">
        <v>39</v>
      </c>
      <c r="I83" s="10"/>
      <c r="J83" s="8">
        <v>4.4000000000000004</v>
      </c>
      <c r="K83" s="8">
        <v>519</v>
      </c>
      <c r="L83" s="11" t="s">
        <v>2954</v>
      </c>
      <c r="M83" s="39" t="s">
        <v>265</v>
      </c>
      <c r="N83" s="39" t="s">
        <v>265</v>
      </c>
      <c r="O83" s="38" t="s">
        <v>265</v>
      </c>
    </row>
    <row r="84" spans="1:15" ht="27" customHeight="1">
      <c r="A84" s="5">
        <v>45863</v>
      </c>
      <c r="B84" s="18" t="s">
        <v>15</v>
      </c>
      <c r="C84" s="23" t="s">
        <v>16</v>
      </c>
      <c r="D84" s="7" t="s">
        <v>2947</v>
      </c>
      <c r="E84" s="66" t="s">
        <v>2948</v>
      </c>
      <c r="F84" s="85" t="str">
        <f>HYPERLINK("https://drive.google.com/file/d/1DwW1jvsr0NGNgWnB_VNYN-GxAUPS7B5I/view?usp=drivesdk","https://drive.google.com/file/d/1DwW1jvsr0NGNgWnB_VNYN-GxAUPS7B5I/view?usp=drivesdk")</f>
        <v>https://drive.google.com/file/d/1DwW1jvsr0NGNgWnB_VNYN-GxAUPS7B5I/view?usp=drivesdk</v>
      </c>
      <c r="G84" s="7" t="s">
        <v>2949</v>
      </c>
      <c r="H84" s="73" t="s">
        <v>39</v>
      </c>
      <c r="I84" s="10"/>
      <c r="J84" s="8">
        <v>63.3</v>
      </c>
      <c r="K84" s="8">
        <v>952</v>
      </c>
      <c r="L84" s="11" t="s">
        <v>2950</v>
      </c>
      <c r="M84" s="26" t="s">
        <v>22</v>
      </c>
      <c r="N84" s="44" t="s">
        <v>2941</v>
      </c>
      <c r="O84" s="113" t="s">
        <v>2942</v>
      </c>
    </row>
    <row r="85" spans="1:15" ht="27" customHeight="1">
      <c r="A85" s="5">
        <v>45858</v>
      </c>
      <c r="B85" s="19" t="s">
        <v>1678</v>
      </c>
      <c r="C85" s="23" t="s">
        <v>1336</v>
      </c>
      <c r="D85" s="7" t="s">
        <v>2943</v>
      </c>
      <c r="E85" s="66" t="s">
        <v>2944</v>
      </c>
      <c r="F85" s="85" t="str">
        <f>HYPERLINK("https://drive.google.com/file/d/1W2SsuieJVgRKdVsrDKfVqyewyege1C-M/view?usp=drivesdk","https://drive.google.com/file/d/1W2SsuieJVgRKdVsrDKfVqyewyege1C-M/view?usp=drivesdk")</f>
        <v>https://drive.google.com/file/d/1W2SsuieJVgRKdVsrDKfVqyewyege1C-M/view?usp=drivesdk</v>
      </c>
      <c r="G85" s="7" t="s">
        <v>2945</v>
      </c>
      <c r="H85" s="95" t="s">
        <v>3303</v>
      </c>
      <c r="I85" s="10"/>
      <c r="J85" s="8">
        <v>4.5999999999999996</v>
      </c>
      <c r="K85" s="8">
        <v>349</v>
      </c>
      <c r="L85" s="11" t="s">
        <v>2946</v>
      </c>
      <c r="M85" s="39" t="s">
        <v>265</v>
      </c>
      <c r="N85" s="39" t="s">
        <v>265</v>
      </c>
      <c r="O85" s="38" t="s">
        <v>265</v>
      </c>
    </row>
    <row r="86" spans="1:15" ht="27" customHeight="1">
      <c r="A86" s="5">
        <v>45857</v>
      </c>
      <c r="B86" s="18" t="s">
        <v>15</v>
      </c>
      <c r="C86" s="23" t="s">
        <v>223</v>
      </c>
      <c r="D86" s="7" t="s">
        <v>2937</v>
      </c>
      <c r="E86" s="66" t="s">
        <v>2938</v>
      </c>
      <c r="F86" s="85" t="str">
        <f>HYPERLINK("https://drive.google.com/file/d/15HMUZF75b9lXQd8mPy3wLmUEgTZzoVsF/view?usp=drivesdk","https://drive.google.com/file/d/15HMUZF75b9lXQd8mPy3wLmUEgTZzoVsF/view?usp=drivesdk")</f>
        <v>https://drive.google.com/file/d/15HMUZF75b9lXQd8mPy3wLmUEgTZzoVsF/view?usp=drivesdk</v>
      </c>
      <c r="G86" s="7" t="s">
        <v>2939</v>
      </c>
      <c r="H86" s="73" t="s">
        <v>39</v>
      </c>
      <c r="I86" s="10"/>
      <c r="J86" s="8">
        <v>103.7</v>
      </c>
      <c r="K86" s="8">
        <v>1448</v>
      </c>
      <c r="L86" s="11" t="s">
        <v>2940</v>
      </c>
      <c r="M86" s="26" t="s">
        <v>22</v>
      </c>
      <c r="N86" s="44" t="s">
        <v>2941</v>
      </c>
      <c r="O86" s="113" t="s">
        <v>2942</v>
      </c>
    </row>
    <row r="87" spans="1:15">
      <c r="A87" s="5">
        <v>45854</v>
      </c>
      <c r="B87" s="18" t="s">
        <v>15</v>
      </c>
      <c r="C87" s="23" t="s">
        <v>16</v>
      </c>
      <c r="D87" s="7" t="s">
        <v>2930</v>
      </c>
      <c r="E87" s="66" t="s">
        <v>2931</v>
      </c>
      <c r="F87" s="85" t="str">
        <f>HYPERLINK("https://drive.google.com/file/d/1h4gKnDyHdBRTnp_TbgbcTreWmM7SyAww/view?usp=drivesdk","https://drive.google.com/file/d/1h4gKnDyHdBRTnp_TbgbcTreWmM7SyAww/view?usp=drivesdk")</f>
        <v>https://drive.google.com/file/d/1h4gKnDyHdBRTnp_TbgbcTreWmM7SyAww/view?usp=drivesdk</v>
      </c>
      <c r="G87" s="7" t="s">
        <v>2930</v>
      </c>
      <c r="H87" s="95" t="s">
        <v>3306</v>
      </c>
      <c r="I87" s="10"/>
      <c r="J87" s="8">
        <v>48.6</v>
      </c>
      <c r="K87" s="8">
        <v>1143</v>
      </c>
      <c r="L87" s="11" t="s">
        <v>2932</v>
      </c>
      <c r="M87" s="26" t="s">
        <v>22</v>
      </c>
      <c r="N87" s="44" t="s">
        <v>602</v>
      </c>
      <c r="O87" s="113" t="s">
        <v>2895</v>
      </c>
    </row>
    <row r="88" spans="1:15" ht="27">
      <c r="A88" s="5">
        <v>45854</v>
      </c>
      <c r="B88" s="19" t="s">
        <v>1678</v>
      </c>
      <c r="C88" s="23" t="s">
        <v>1336</v>
      </c>
      <c r="D88" s="7" t="s">
        <v>2933</v>
      </c>
      <c r="E88" s="66" t="s">
        <v>2934</v>
      </c>
      <c r="F88" s="85" t="str">
        <f>HYPERLINK("https://drive.google.com/file/d/1Iau0XDXX8K4tg0NawbCsdrtwJ6cx_cfJ/view?usp=drivesdk","https://drive.google.com/file/d/1Iau0XDXX8K4tg0NawbCsdrtwJ6cx_cfJ/view?usp=drivesdk")</f>
        <v>https://drive.google.com/file/d/1Iau0XDXX8K4tg0NawbCsdrtwJ6cx_cfJ/view?usp=drivesdk</v>
      </c>
      <c r="G88" s="7" t="s">
        <v>2935</v>
      </c>
      <c r="H88" s="95" t="s">
        <v>3276</v>
      </c>
      <c r="I88" s="10"/>
      <c r="J88" s="8">
        <v>9.1</v>
      </c>
      <c r="K88" s="8">
        <v>699</v>
      </c>
      <c r="L88" s="11" t="s">
        <v>2936</v>
      </c>
      <c r="M88" s="39" t="s">
        <v>265</v>
      </c>
      <c r="N88" s="39" t="s">
        <v>265</v>
      </c>
      <c r="O88" s="38" t="s">
        <v>265</v>
      </c>
    </row>
    <row r="89" spans="1:15">
      <c r="A89" s="5">
        <v>45853</v>
      </c>
      <c r="B89" s="19" t="s">
        <v>1678</v>
      </c>
      <c r="C89" s="23" t="s">
        <v>1336</v>
      </c>
      <c r="D89" s="7" t="s">
        <v>2927</v>
      </c>
      <c r="E89" s="66" t="s">
        <v>2928</v>
      </c>
      <c r="F89" s="85" t="str">
        <f>HYPERLINK("https://drive.google.com/file/d/141wm-1RDZsOgk5zJMzolqz00_zdCSOd1/view?usp=drivesdk","https://drive.google.com/file/d/141wm-1RDZsOgk5zJMzolqz00_zdCSOd1/view?usp=drivesdk")</f>
        <v>https://drive.google.com/file/d/141wm-1RDZsOgk5zJMzolqz00_zdCSOd1/view?usp=drivesdk</v>
      </c>
      <c r="G89" s="7" t="s">
        <v>2929</v>
      </c>
      <c r="H89" s="95" t="s">
        <v>3306</v>
      </c>
      <c r="I89" s="10"/>
      <c r="J89" s="8">
        <v>9.5</v>
      </c>
      <c r="K89" s="8">
        <v>954</v>
      </c>
      <c r="L89" s="11" t="s">
        <v>2096</v>
      </c>
      <c r="M89" s="39" t="s">
        <v>265</v>
      </c>
      <c r="N89" s="39" t="s">
        <v>265</v>
      </c>
      <c r="O89" s="38" t="s">
        <v>265</v>
      </c>
    </row>
    <row r="90" spans="1:15" ht="27" customHeight="1">
      <c r="A90" s="5">
        <v>45851</v>
      </c>
      <c r="B90" s="19" t="s">
        <v>1678</v>
      </c>
      <c r="C90" s="23" t="s">
        <v>1336</v>
      </c>
      <c r="D90" s="7" t="s">
        <v>2923</v>
      </c>
      <c r="E90" s="66" t="s">
        <v>2924</v>
      </c>
      <c r="F90" s="85" t="str">
        <f>HYPERLINK("https://drive.google.com/file/d/1sRIEqcTAW9hodlobcCkLIGHcLTkSd5AX/view?usp=drivesdk","https://drive.google.com/file/d/1sRIEqcTAW9hodlobcCkLIGHcLTkSd5AX/view?usp=drivesdk")</f>
        <v>https://drive.google.com/file/d/1sRIEqcTAW9hodlobcCkLIGHcLTkSd5AX/view?usp=drivesdk</v>
      </c>
      <c r="G90" s="7" t="s">
        <v>2925</v>
      </c>
      <c r="H90" s="73" t="s">
        <v>39</v>
      </c>
      <c r="I90" s="10"/>
      <c r="J90" s="8">
        <v>4.9000000000000004</v>
      </c>
      <c r="K90" s="8">
        <v>573</v>
      </c>
      <c r="L90" s="11" t="s">
        <v>2926</v>
      </c>
      <c r="M90" s="39" t="s">
        <v>265</v>
      </c>
      <c r="N90" s="39" t="s">
        <v>265</v>
      </c>
      <c r="O90" s="38" t="s">
        <v>265</v>
      </c>
    </row>
    <row r="91" spans="1:15" ht="27">
      <c r="A91" s="5">
        <v>45844</v>
      </c>
      <c r="B91" s="19" t="s">
        <v>1678</v>
      </c>
      <c r="C91" s="23" t="s">
        <v>1336</v>
      </c>
      <c r="D91" s="7" t="s">
        <v>2919</v>
      </c>
      <c r="E91" s="66" t="s">
        <v>2920</v>
      </c>
      <c r="F91" s="85" t="str">
        <f>HYPERLINK("https://drive.google.com/file/d/10HWb-9v7Tp-HnKihYoVM2IwuAjvg7FEv/view?usp=drivesdk","https://drive.google.com/file/d/10HWb-9v7Tp-HnKihYoVM2IwuAjvg7FEv/view?usp=drivesdk")</f>
        <v>https://drive.google.com/file/d/10HWb-9v7Tp-HnKihYoVM2IwuAjvg7FEv/view?usp=drivesdk</v>
      </c>
      <c r="G91" s="7" t="s">
        <v>2921</v>
      </c>
      <c r="H91" s="73" t="s">
        <v>39</v>
      </c>
      <c r="I91" s="10"/>
      <c r="J91" s="8">
        <v>5.0999999999999996</v>
      </c>
      <c r="K91" s="8">
        <v>489</v>
      </c>
      <c r="L91" s="11" t="s">
        <v>2922</v>
      </c>
      <c r="M91" s="39" t="s">
        <v>265</v>
      </c>
      <c r="N91" s="39" t="s">
        <v>265</v>
      </c>
      <c r="O91" s="38" t="s">
        <v>265</v>
      </c>
    </row>
    <row r="92" spans="1:15">
      <c r="A92" s="5">
        <v>45837</v>
      </c>
      <c r="B92" s="18" t="s">
        <v>15</v>
      </c>
      <c r="C92" s="7" t="s">
        <v>151</v>
      </c>
      <c r="D92" s="7" t="s">
        <v>2916</v>
      </c>
      <c r="E92" s="66" t="s">
        <v>2917</v>
      </c>
      <c r="F92" s="85" t="str">
        <f>HYPERLINK("https://drive.google.com/file/d/1HfW8UArX1Ax02nSBs2ymc28L9pG96s41/view?usp=drivesdk","https://drive.google.com/file/d/1HfW8UArX1Ax02nSBs2ymc28L9pG96s41/view?usp=drivesdk")</f>
        <v>https://drive.google.com/file/d/1HfW8UArX1Ax02nSBs2ymc28L9pG96s41/view?usp=drivesdk</v>
      </c>
      <c r="G92" s="7" t="s">
        <v>2918</v>
      </c>
      <c r="H92" s="73" t="s">
        <v>39</v>
      </c>
      <c r="I92" s="10"/>
      <c r="J92" s="8">
        <v>124.5</v>
      </c>
      <c r="K92" s="8">
        <v>1088</v>
      </c>
      <c r="L92" s="11" t="s">
        <v>2568</v>
      </c>
      <c r="M92" s="26" t="s">
        <v>22</v>
      </c>
      <c r="N92" s="44" t="s">
        <v>602</v>
      </c>
      <c r="O92" s="113" t="s">
        <v>2895</v>
      </c>
    </row>
    <row r="93" spans="1:15" ht="27" customHeight="1">
      <c r="A93" s="5">
        <v>45836</v>
      </c>
      <c r="B93" s="19" t="s">
        <v>1678</v>
      </c>
      <c r="C93" s="23" t="s">
        <v>1336</v>
      </c>
      <c r="D93" s="7" t="s">
        <v>2912</v>
      </c>
      <c r="E93" s="66" t="s">
        <v>2913</v>
      </c>
      <c r="F93" s="85" t="str">
        <f>HYPERLINK("https://drive.google.com/file/d/194Sw92fuOOwVjO2T9BfLrCEN440FnS-V/view?usp=drivesdk","https://drive.google.com/file/d/194Sw92fuOOwVjO2T9BfLrCEN440FnS-V/view?usp=drivesdk")</f>
        <v>https://drive.google.com/file/d/194Sw92fuOOwVjO2T9BfLrCEN440FnS-V/view?usp=drivesdk</v>
      </c>
      <c r="G93" s="7" t="s">
        <v>2914</v>
      </c>
      <c r="H93" s="73" t="s">
        <v>39</v>
      </c>
      <c r="I93" s="10"/>
      <c r="J93" s="8">
        <v>3.8</v>
      </c>
      <c r="K93" s="8">
        <v>443</v>
      </c>
      <c r="L93" s="11" t="s">
        <v>2915</v>
      </c>
      <c r="M93" s="39" t="s">
        <v>265</v>
      </c>
      <c r="N93" s="39" t="s">
        <v>265</v>
      </c>
      <c r="O93" s="38" t="s">
        <v>265</v>
      </c>
    </row>
    <row r="94" spans="1:15">
      <c r="A94" s="5">
        <v>45830</v>
      </c>
      <c r="B94" s="19" t="s">
        <v>1678</v>
      </c>
      <c r="C94" s="23" t="s">
        <v>1336</v>
      </c>
      <c r="D94" s="7" t="s">
        <v>2752</v>
      </c>
      <c r="E94" s="66" t="s">
        <v>2910</v>
      </c>
      <c r="F94" s="85" t="str">
        <f>HYPERLINK("https://drive.google.com/file/d/1Uw1ki-ppCaFx_woe58nazD8pcAVevBy5/view?usp=drivesdk","https://drive.google.com/file/d/1Uw1ki-ppCaFx_woe58nazD8pcAVevBy5/view?usp=drivesdk")</f>
        <v>https://drive.google.com/file/d/1Uw1ki-ppCaFx_woe58nazD8pcAVevBy5/view?usp=drivesdk</v>
      </c>
      <c r="G94" s="7" t="s">
        <v>2754</v>
      </c>
      <c r="H94" s="73" t="s">
        <v>39</v>
      </c>
      <c r="I94" s="10"/>
      <c r="J94" s="8">
        <v>1.5</v>
      </c>
      <c r="K94" s="8">
        <v>84</v>
      </c>
      <c r="L94" s="11" t="s">
        <v>2911</v>
      </c>
      <c r="M94" s="39" t="s">
        <v>265</v>
      </c>
      <c r="N94" s="39" t="s">
        <v>265</v>
      </c>
      <c r="O94" s="38" t="s">
        <v>265</v>
      </c>
    </row>
    <row r="95" spans="1:15">
      <c r="A95" s="5">
        <v>45829</v>
      </c>
      <c r="B95" s="18" t="s">
        <v>15</v>
      </c>
      <c r="C95" s="23" t="s">
        <v>16</v>
      </c>
      <c r="D95" s="7" t="s">
        <v>2906</v>
      </c>
      <c r="E95" s="66" t="s">
        <v>2907</v>
      </c>
      <c r="F95" s="85" t="str">
        <f>HYPERLINK("https://drive.google.com/file/d/1k2EUGDx1aVv-bD8ZLesDXNU3kf7faKHM/view?usp=drivesdk","https://drive.google.com/file/d/1k2EUGDx1aVv-bD8ZLesDXNU3kf7faKHM/view?usp=drivesdk")</f>
        <v>https://drive.google.com/file/d/1k2EUGDx1aVv-bD8ZLesDXNU3kf7faKHM/view?usp=drivesdk</v>
      </c>
      <c r="G95" s="7" t="s">
        <v>2908</v>
      </c>
      <c r="H95" s="73" t="s">
        <v>39</v>
      </c>
      <c r="I95" s="10"/>
      <c r="J95" s="8">
        <v>155.5</v>
      </c>
      <c r="K95" s="8">
        <v>2051</v>
      </c>
      <c r="L95" s="11" t="s">
        <v>2909</v>
      </c>
      <c r="M95" s="26" t="s">
        <v>22</v>
      </c>
      <c r="N95" s="44" t="s">
        <v>602</v>
      </c>
      <c r="O95" s="113" t="s">
        <v>2895</v>
      </c>
    </row>
    <row r="96" spans="1:15" ht="27" customHeight="1">
      <c r="A96" s="5">
        <v>45827</v>
      </c>
      <c r="B96" s="18" t="s">
        <v>15</v>
      </c>
      <c r="C96" s="23" t="s">
        <v>16</v>
      </c>
      <c r="D96" s="7" t="s">
        <v>2902</v>
      </c>
      <c r="E96" s="66" t="s">
        <v>2903</v>
      </c>
      <c r="F96" s="85" t="str">
        <f>HYPERLINK("https://drive.google.com/file/d/1AEl6eSxJ0bpZeKEK24l0EtdbG0_TGEDC/view?usp=drivesdk","https://drive.google.com/file/d/1AEl6eSxJ0bpZeKEK24l0EtdbG0_TGEDC/view?usp=drivesdk")</f>
        <v>https://drive.google.com/file/d/1AEl6eSxJ0bpZeKEK24l0EtdbG0_TGEDC/view?usp=drivesdk</v>
      </c>
      <c r="G96" s="7" t="s">
        <v>2904</v>
      </c>
      <c r="H96" s="95" t="s">
        <v>3303</v>
      </c>
      <c r="I96" s="10"/>
      <c r="J96" s="8">
        <v>21.4</v>
      </c>
      <c r="K96" s="8">
        <v>602</v>
      </c>
      <c r="L96" s="11" t="s">
        <v>2905</v>
      </c>
      <c r="M96" s="26" t="s">
        <v>22</v>
      </c>
      <c r="N96" s="44" t="s">
        <v>602</v>
      </c>
      <c r="O96" s="113" t="s">
        <v>2895</v>
      </c>
    </row>
    <row r="97" spans="1:15" ht="40.5">
      <c r="A97" s="5">
        <v>45826</v>
      </c>
      <c r="B97" s="18" t="s">
        <v>15</v>
      </c>
      <c r="C97" s="23" t="s">
        <v>16</v>
      </c>
      <c r="D97" s="7" t="s">
        <v>2900</v>
      </c>
      <c r="E97" s="66" t="s">
        <v>2901</v>
      </c>
      <c r="F97" s="85" t="str">
        <f>HYPERLINK("https://drive.google.com/file/d/1aztvlPsIwzXvfEPNL867CnZjt3rXb0IQ/view?usp=drivesdk","https://drive.google.com/file/d/1aztvlPsIwzXvfEPNL867CnZjt3rXb0IQ/view?usp=drivesdk")</f>
        <v>https://drive.google.com/file/d/1aztvlPsIwzXvfEPNL867CnZjt3rXb0IQ/view?usp=drivesdk</v>
      </c>
      <c r="G97" s="7" t="s">
        <v>3323</v>
      </c>
      <c r="H97" s="95" t="s">
        <v>3303</v>
      </c>
      <c r="I97" s="10"/>
      <c r="J97" s="8">
        <v>76.3</v>
      </c>
      <c r="K97" s="8">
        <v>440</v>
      </c>
      <c r="L97" s="11" t="s">
        <v>2640</v>
      </c>
      <c r="M97" s="39" t="s">
        <v>22</v>
      </c>
      <c r="N97" s="43" t="s">
        <v>675</v>
      </c>
      <c r="O97" s="42" t="s">
        <v>1584</v>
      </c>
    </row>
    <row r="98" spans="1:15">
      <c r="A98" s="5">
        <v>45823</v>
      </c>
      <c r="B98" s="19" t="s">
        <v>1678</v>
      </c>
      <c r="C98" s="23" t="s">
        <v>1336</v>
      </c>
      <c r="D98" s="7" t="s">
        <v>2896</v>
      </c>
      <c r="E98" s="66" t="s">
        <v>2897</v>
      </c>
      <c r="F98" s="85" t="str">
        <f>HYPERLINK("https://drive.google.com/file/d/1vXllq1y_LYecVcI0S2nyFkH7Is4_YJ5t/view?usp=drivesdk","https://drive.google.com/file/d/1vXllq1y_LYecVcI0S2nyFkH7Is4_YJ5t/view?usp=drivesdk")</f>
        <v>https://drive.google.com/file/d/1vXllq1y_LYecVcI0S2nyFkH7Is4_YJ5t/view?usp=drivesdk</v>
      </c>
      <c r="G98" s="7" t="s">
        <v>2898</v>
      </c>
      <c r="H98" s="95" t="s">
        <v>3254</v>
      </c>
      <c r="I98" s="10"/>
      <c r="J98" s="8">
        <v>7.1</v>
      </c>
      <c r="K98" s="8">
        <v>835</v>
      </c>
      <c r="L98" s="11" t="s">
        <v>2899</v>
      </c>
      <c r="M98" s="39" t="s">
        <v>265</v>
      </c>
      <c r="N98" s="39" t="s">
        <v>265</v>
      </c>
      <c r="O98" s="38" t="s">
        <v>265</v>
      </c>
    </row>
    <row r="99" spans="1:15" ht="27">
      <c r="A99" s="5">
        <v>45819</v>
      </c>
      <c r="B99" s="18" t="s">
        <v>15</v>
      </c>
      <c r="C99" s="23" t="s">
        <v>16</v>
      </c>
      <c r="D99" s="7" t="s">
        <v>2860</v>
      </c>
      <c r="E99" s="66" t="s">
        <v>2892</v>
      </c>
      <c r="F99" s="85" t="str">
        <f>HYPERLINK("https://drive.google.com/file/d/1rl-yl278Lw3B2DkiYMCHaBHHQGwmjyMf/view?usp=drivesdk","https://drive.google.com/file/d/1rl-yl278Lw3B2DkiYMCHaBHHQGwmjyMf/view?usp=drivesdk")</f>
        <v>https://drive.google.com/file/d/1rl-yl278Lw3B2DkiYMCHaBHHQGwmjyMf/view?usp=drivesdk</v>
      </c>
      <c r="G99" s="7" t="s">
        <v>2893</v>
      </c>
      <c r="H99" s="73" t="s">
        <v>39</v>
      </c>
      <c r="I99" s="10"/>
      <c r="J99" s="8">
        <v>74.599999999999994</v>
      </c>
      <c r="K99" s="8">
        <v>1044</v>
      </c>
      <c r="L99" s="11" t="s">
        <v>2894</v>
      </c>
      <c r="M99" s="26" t="s">
        <v>22</v>
      </c>
      <c r="N99" s="44" t="s">
        <v>602</v>
      </c>
      <c r="O99" s="113" t="s">
        <v>2895</v>
      </c>
    </row>
    <row r="100" spans="1:15">
      <c r="A100" s="5">
        <v>45815</v>
      </c>
      <c r="B100" s="19" t="s">
        <v>1678</v>
      </c>
      <c r="C100" s="23" t="s">
        <v>1336</v>
      </c>
      <c r="D100" s="7" t="s">
        <v>2889</v>
      </c>
      <c r="E100" s="66" t="s">
        <v>2890</v>
      </c>
      <c r="F100" s="85" t="str">
        <f>HYPERLINK("https://drive.google.com/file/d/1Expn1own4ro0qXrICcC_mns7iTyCeqRl/view?usp=drivesdk","https://drive.google.com/file/d/1Expn1own4ro0qXrICcC_mns7iTyCeqRl/view?usp=drivesdk")</f>
        <v>https://drive.google.com/file/d/1Expn1own4ro0qXrICcC_mns7iTyCeqRl/view?usp=drivesdk</v>
      </c>
      <c r="G100" s="7" t="s">
        <v>2889</v>
      </c>
      <c r="H100" s="73" t="s">
        <v>39</v>
      </c>
      <c r="I100" s="10"/>
      <c r="J100" s="8">
        <v>4.8</v>
      </c>
      <c r="K100" s="8">
        <v>546</v>
      </c>
      <c r="L100" s="11" t="s">
        <v>2891</v>
      </c>
      <c r="M100" s="39" t="s">
        <v>265</v>
      </c>
      <c r="N100" s="39" t="s">
        <v>265</v>
      </c>
      <c r="O100" s="38" t="s">
        <v>265</v>
      </c>
    </row>
    <row r="101" spans="1:15" ht="27">
      <c r="A101" s="5">
        <v>45813</v>
      </c>
      <c r="B101" s="19" t="s">
        <v>1678</v>
      </c>
      <c r="C101" s="23" t="s">
        <v>1336</v>
      </c>
      <c r="D101" s="7" t="s">
        <v>2886</v>
      </c>
      <c r="E101" s="66" t="s">
        <v>2887</v>
      </c>
      <c r="F101" s="85" t="str">
        <f>HYPERLINK("https://drive.google.com/file/d/1UZKB_Pze5zyTlPziNQgUpR-iLfajITpv/view?usp=drivesdk","https://drive.google.com/file/d/1UZKB_Pze5zyTlPziNQgUpR-iLfajITpv/view?usp=drivesdk")</f>
        <v>https://drive.google.com/file/d/1UZKB_Pze5zyTlPziNQgUpR-iLfajITpv/view?usp=drivesdk</v>
      </c>
      <c r="G101" s="7" t="s">
        <v>3330</v>
      </c>
      <c r="H101" s="95" t="s">
        <v>3303</v>
      </c>
      <c r="I101" s="10"/>
      <c r="J101" s="8">
        <v>12.6</v>
      </c>
      <c r="K101" s="8">
        <v>1061</v>
      </c>
      <c r="L101" s="11" t="s">
        <v>2888</v>
      </c>
      <c r="M101" s="39" t="s">
        <v>265</v>
      </c>
      <c r="N101" s="39" t="s">
        <v>265</v>
      </c>
      <c r="O101" s="38" t="s">
        <v>265</v>
      </c>
    </row>
    <row r="102" spans="1:15" ht="27">
      <c r="A102" s="5">
        <v>45812</v>
      </c>
      <c r="B102" s="6" t="s">
        <v>246</v>
      </c>
      <c r="C102" s="23" t="s">
        <v>1336</v>
      </c>
      <c r="D102" s="7" t="s">
        <v>2883</v>
      </c>
      <c r="E102" s="66" t="s">
        <v>2884</v>
      </c>
      <c r="F102" s="85" t="str">
        <f>HYPERLINK("https://drive.google.com/file/d/18JvO4tZdqQFlmGCo7SZNUQEY2EaBeZbk/view?usp=drivesdk","https://drive.google.com/file/d/18JvO4tZdqQFlmGCo7SZNUQEY2EaBeZbk/view?usp=drivesdk")</f>
        <v>https://drive.google.com/file/d/18JvO4tZdqQFlmGCo7SZNUQEY2EaBeZbk/view?usp=drivesdk</v>
      </c>
      <c r="G102" s="7" t="s">
        <v>3324</v>
      </c>
      <c r="H102" s="95" t="s">
        <v>3303</v>
      </c>
      <c r="I102" s="10"/>
      <c r="J102" s="8">
        <v>23.1</v>
      </c>
      <c r="K102" s="8">
        <v>1245</v>
      </c>
      <c r="L102" s="11" t="s">
        <v>2885</v>
      </c>
      <c r="M102" s="39" t="s">
        <v>22</v>
      </c>
      <c r="N102" s="44" t="s">
        <v>675</v>
      </c>
      <c r="O102" s="113" t="s">
        <v>2761</v>
      </c>
    </row>
    <row r="103" spans="1:15">
      <c r="A103" s="5">
        <v>45809</v>
      </c>
      <c r="B103" s="19" t="s">
        <v>1678</v>
      </c>
      <c r="C103" s="23" t="s">
        <v>1336</v>
      </c>
      <c r="D103" s="7" t="s">
        <v>2879</v>
      </c>
      <c r="E103" s="66" t="s">
        <v>2880</v>
      </c>
      <c r="F103" s="85" t="str">
        <f>HYPERLINK("https://drive.google.com/file/d/1v7nQFfIQpQUdb84XUcZ_cLa1MAykw-Cw/view?usp=drivesdk","https://drive.google.com/file/d/1v7nQFfIQpQUdb84XUcZ_cLa1MAykw-Cw/view?usp=drivesdk")</f>
        <v>https://drive.google.com/file/d/1v7nQFfIQpQUdb84XUcZ_cLa1MAykw-Cw/view?usp=drivesdk</v>
      </c>
      <c r="G103" s="7" t="s">
        <v>2881</v>
      </c>
      <c r="H103" s="95" t="s">
        <v>3199</v>
      </c>
      <c r="I103" s="10"/>
      <c r="J103" s="8">
        <v>5.8</v>
      </c>
      <c r="K103" s="8">
        <v>521</v>
      </c>
      <c r="L103" s="11" t="s">
        <v>2882</v>
      </c>
      <c r="M103" s="39" t="s">
        <v>265</v>
      </c>
      <c r="N103" s="39" t="s">
        <v>265</v>
      </c>
      <c r="O103" s="38" t="s">
        <v>265</v>
      </c>
    </row>
    <row r="104" spans="1:15" ht="27" customHeight="1">
      <c r="A104" s="5">
        <v>45808</v>
      </c>
      <c r="B104" s="18" t="s">
        <v>15</v>
      </c>
      <c r="C104" s="23" t="s">
        <v>16</v>
      </c>
      <c r="D104" s="7" t="s">
        <v>2876</v>
      </c>
      <c r="E104" s="66" t="s">
        <v>2877</v>
      </c>
      <c r="F104" s="85" t="str">
        <f>HYPERLINK("https://drive.google.com/file/d/1V_Ue1R0eQlD2hEcBFNEn8IWPn_STP_ge/view?usp=drivesdk","https://drive.google.com/file/d/1V_Ue1R0eQlD2hEcBFNEn8IWPn_STP_ge/view?usp=drivesdk")</f>
        <v>https://drive.google.com/file/d/1V_Ue1R0eQlD2hEcBFNEn8IWPn_STP_ge/view?usp=drivesdk</v>
      </c>
      <c r="G104" s="7" t="s">
        <v>2878</v>
      </c>
      <c r="H104" s="95" t="s">
        <v>3199</v>
      </c>
      <c r="I104" s="10"/>
      <c r="J104" s="8">
        <v>114.1</v>
      </c>
      <c r="K104" s="8">
        <v>1419</v>
      </c>
      <c r="L104" s="11" t="s">
        <v>2291</v>
      </c>
      <c r="M104" s="39" t="s">
        <v>22</v>
      </c>
      <c r="N104" s="43" t="s">
        <v>675</v>
      </c>
      <c r="O104" s="42" t="s">
        <v>1584</v>
      </c>
    </row>
    <row r="105" spans="1:15">
      <c r="A105" s="5">
        <v>45804</v>
      </c>
      <c r="B105" s="18" t="s">
        <v>15</v>
      </c>
      <c r="C105" s="23" t="s">
        <v>16</v>
      </c>
      <c r="D105" s="7" t="s">
        <v>460</v>
      </c>
      <c r="E105" s="66" t="s">
        <v>2875</v>
      </c>
      <c r="F105" s="85" t="str">
        <f>HYPERLINK("https://drive.google.com/file/d/1smmo44GnArGj6iSg0h_ncHVJzhh8eDXF/view?usp=drivesdk","https://drive.google.com/file/d/1smmo44GnArGj6iSg0h_ncHVJzhh8eDXF/view?usp=drivesdk")</f>
        <v>https://drive.google.com/file/d/1smmo44GnArGj6iSg0h_ncHVJzhh8eDXF/view?usp=drivesdk</v>
      </c>
      <c r="G105" s="7" t="s">
        <v>460</v>
      </c>
      <c r="H105" s="95" t="s">
        <v>3199</v>
      </c>
      <c r="I105" s="10"/>
      <c r="J105" s="8">
        <v>149</v>
      </c>
      <c r="K105" s="8">
        <v>1458</v>
      </c>
      <c r="L105" s="11" t="s">
        <v>2674</v>
      </c>
      <c r="M105" s="39" t="s">
        <v>22</v>
      </c>
      <c r="N105" s="43" t="s">
        <v>675</v>
      </c>
      <c r="O105" s="42" t="s">
        <v>1584</v>
      </c>
    </row>
    <row r="106" spans="1:15">
      <c r="A106" s="5">
        <v>45802</v>
      </c>
      <c r="B106" s="19" t="s">
        <v>1678</v>
      </c>
      <c r="C106" s="23" t="s">
        <v>1336</v>
      </c>
      <c r="D106" s="7" t="s">
        <v>2872</v>
      </c>
      <c r="E106" s="66" t="s">
        <v>2873</v>
      </c>
      <c r="F106" s="85" t="str">
        <f>HYPERLINK("https://drive.google.com/file/d/1oszyBwrNvKDkEsKNC7bMdvJscg3xNrYJ/view?usp=drivesdk","https://drive.google.com/file/d/1oszyBwrNvKDkEsKNC7bMdvJscg3xNrYJ/view?usp=drivesdk")</f>
        <v>https://drive.google.com/file/d/1oszyBwrNvKDkEsKNC7bMdvJscg3xNrYJ/view?usp=drivesdk</v>
      </c>
      <c r="G106" s="7" t="s">
        <v>2874</v>
      </c>
      <c r="H106" s="95" t="s">
        <v>3199</v>
      </c>
      <c r="I106" s="10"/>
      <c r="J106" s="8">
        <v>4.8</v>
      </c>
      <c r="K106" s="8">
        <v>222</v>
      </c>
      <c r="L106" s="11" t="s">
        <v>2638</v>
      </c>
      <c r="M106" s="39" t="s">
        <v>265</v>
      </c>
      <c r="N106" s="39" t="s">
        <v>265</v>
      </c>
      <c r="O106" s="38" t="s">
        <v>265</v>
      </c>
    </row>
    <row r="107" spans="1:15" ht="13.5">
      <c r="A107" s="5">
        <v>45795</v>
      </c>
      <c r="B107" s="19" t="s">
        <v>1678</v>
      </c>
      <c r="C107" s="7" t="s">
        <v>151</v>
      </c>
      <c r="D107" s="7" t="s">
        <v>2869</v>
      </c>
      <c r="E107" s="66" t="s">
        <v>2870</v>
      </c>
      <c r="F107" s="85" t="str">
        <f>HYPERLINK("https://drive.google.com/file/d/1CYJg1-mmN6IwoCf2RmH5M9ZqskP0xOUU/view?usp=drivesdk","https://drive.google.com/file/d/1CYJg1-mmN6IwoCf2RmH5M9ZqskP0xOUU/view?usp=drivesdk")</f>
        <v>https://drive.google.com/file/d/1CYJg1-mmN6IwoCf2RmH5M9ZqskP0xOUU/view?usp=drivesdk</v>
      </c>
      <c r="G107" s="7" t="s">
        <v>2871</v>
      </c>
      <c r="H107" s="95" t="s">
        <v>3199</v>
      </c>
      <c r="I107" s="23" t="s">
        <v>1086</v>
      </c>
      <c r="J107" s="8">
        <v>91.2</v>
      </c>
      <c r="K107" s="8">
        <v>1638</v>
      </c>
      <c r="L107" s="11" t="s">
        <v>2765</v>
      </c>
      <c r="M107" s="39" t="s">
        <v>265</v>
      </c>
      <c r="N107" s="39" t="s">
        <v>265</v>
      </c>
      <c r="O107" s="38" t="s">
        <v>265</v>
      </c>
    </row>
    <row r="108" spans="1:15" ht="27" customHeight="1">
      <c r="A108" s="5">
        <v>45792</v>
      </c>
      <c r="B108" s="19" t="s">
        <v>1678</v>
      </c>
      <c r="C108" s="23" t="s">
        <v>1336</v>
      </c>
      <c r="D108" s="7" t="s">
        <v>2865</v>
      </c>
      <c r="E108" s="66" t="s">
        <v>2866</v>
      </c>
      <c r="F108" s="85" t="str">
        <f>HYPERLINK("https://drive.google.com/file/d/1dAuJdJ3sDiG9k7cZPjdLiN9lJgD-cgM2/view?usp=drivesdk","https://drive.google.com/file/d/1dAuJdJ3sDiG9k7cZPjdLiN9lJgD-cgM2/view?usp=drivesdk")</f>
        <v>https://drive.google.com/file/d/1dAuJdJ3sDiG9k7cZPjdLiN9lJgD-cgM2/view?usp=drivesdk</v>
      </c>
      <c r="G108" s="7" t="s">
        <v>2867</v>
      </c>
      <c r="H108" s="95" t="s">
        <v>3199</v>
      </c>
      <c r="I108" s="10"/>
      <c r="J108" s="8">
        <v>1.6</v>
      </c>
      <c r="K108" s="8">
        <v>102</v>
      </c>
      <c r="L108" s="11" t="s">
        <v>2868</v>
      </c>
      <c r="M108" s="39" t="s">
        <v>265</v>
      </c>
      <c r="N108" s="39" t="s">
        <v>265</v>
      </c>
      <c r="O108" s="38" t="s">
        <v>265</v>
      </c>
    </row>
    <row r="109" spans="1:15">
      <c r="A109" s="5">
        <v>45788</v>
      </c>
      <c r="B109" s="19" t="s">
        <v>1678</v>
      </c>
      <c r="C109" s="23" t="s">
        <v>1336</v>
      </c>
      <c r="D109" s="7" t="s">
        <v>2863</v>
      </c>
      <c r="E109" s="66" t="s">
        <v>2864</v>
      </c>
      <c r="F109" s="85" t="str">
        <f>HYPERLINK("https://drive.google.com/file/d/1SCKvaOO3MK8sGzEeImxKJJVZ4gjMEmfB/view?usp=drivesdk","https://drive.google.com/file/d/1SCKvaOO3MK8sGzEeImxKJJVZ4gjMEmfB/view?usp=drivesdk")</f>
        <v>https://drive.google.com/file/d/1SCKvaOO3MK8sGzEeImxKJJVZ4gjMEmfB/view?usp=drivesdk</v>
      </c>
      <c r="G109" s="7" t="s">
        <v>2224</v>
      </c>
      <c r="H109" s="95" t="s">
        <v>3199</v>
      </c>
      <c r="I109" s="10"/>
      <c r="J109" s="8">
        <v>5.7</v>
      </c>
      <c r="K109" s="8">
        <v>611</v>
      </c>
      <c r="L109" s="11" t="s">
        <v>2008</v>
      </c>
      <c r="M109" s="39" t="s">
        <v>265</v>
      </c>
      <c r="N109" s="39" t="s">
        <v>265</v>
      </c>
      <c r="O109" s="38" t="s">
        <v>265</v>
      </c>
    </row>
    <row r="110" spans="1:15" ht="40.5">
      <c r="A110" s="5">
        <v>45787</v>
      </c>
      <c r="B110" s="18" t="s">
        <v>15</v>
      </c>
      <c r="C110" s="23" t="s">
        <v>16</v>
      </c>
      <c r="D110" s="7" t="s">
        <v>2860</v>
      </c>
      <c r="E110" s="66" t="s">
        <v>2861</v>
      </c>
      <c r="F110" s="85" t="str">
        <f>HYPERLINK("https://drive.google.com/file/d/1cBnRLUI4qHVie2roFjrCQS9DKmfAPc69/view?usp=drivesdk","https://drive.google.com/file/d/1cBnRLUI4qHVie2roFjrCQS9DKmfAPc69/view?usp=drivesdk")</f>
        <v>https://drive.google.com/file/d/1cBnRLUI4qHVie2roFjrCQS9DKmfAPc69/view?usp=drivesdk</v>
      </c>
      <c r="G110" s="7" t="s">
        <v>2862</v>
      </c>
      <c r="H110" s="95" t="s">
        <v>3199</v>
      </c>
      <c r="I110" s="10"/>
      <c r="J110" s="8">
        <v>77.599999999999994</v>
      </c>
      <c r="K110" s="8">
        <v>1019</v>
      </c>
      <c r="L110" s="11" t="s">
        <v>2359</v>
      </c>
      <c r="M110" s="39" t="s">
        <v>22</v>
      </c>
      <c r="N110" s="43" t="s">
        <v>675</v>
      </c>
      <c r="O110" s="42" t="s">
        <v>1584</v>
      </c>
    </row>
    <row r="111" spans="1:15" ht="13.5">
      <c r="A111" s="5">
        <v>45785</v>
      </c>
      <c r="B111" s="20" t="s">
        <v>1632</v>
      </c>
      <c r="C111" s="23" t="s">
        <v>1633</v>
      </c>
      <c r="D111" s="7" t="s">
        <v>457</v>
      </c>
      <c r="E111" s="66" t="s">
        <v>2858</v>
      </c>
      <c r="F111" s="85" t="str">
        <f>HYPERLINK("https://drive.google.com/file/d/1ceExANL4h3kW28T3s2T5DRVbdKtbR4SC/view?usp=drivesdk","https://drive.google.com/file/d/1ceExANL4h3kW28T3s2T5DRVbdKtbR4SC/view?usp=drivesdk")</f>
        <v>https://drive.google.com/file/d/1ceExANL4h3kW28T3s2T5DRVbdKtbR4SC/view?usp=drivesdk</v>
      </c>
      <c r="G111" s="7" t="s">
        <v>457</v>
      </c>
      <c r="H111" s="95" t="s">
        <v>3199</v>
      </c>
      <c r="I111" s="23" t="s">
        <v>1086</v>
      </c>
      <c r="J111" s="8">
        <v>0.73399999999999999</v>
      </c>
      <c r="K111" s="8">
        <v>21</v>
      </c>
      <c r="L111" s="11" t="s">
        <v>2859</v>
      </c>
      <c r="M111" s="39" t="s">
        <v>265</v>
      </c>
      <c r="N111" s="39" t="s">
        <v>265</v>
      </c>
      <c r="O111" s="38" t="s">
        <v>265</v>
      </c>
    </row>
    <row r="112" spans="1:15" ht="13.5">
      <c r="A112" s="5">
        <v>45780</v>
      </c>
      <c r="B112" s="18" t="s">
        <v>15</v>
      </c>
      <c r="C112" s="23" t="s">
        <v>16</v>
      </c>
      <c r="D112" s="7" t="s">
        <v>2856</v>
      </c>
      <c r="E112" s="66" t="s">
        <v>2857</v>
      </c>
      <c r="F112" s="85" t="str">
        <f>HYPERLINK("https://drive.google.com/file/d/1_ti4Qe-44DYjtrNSFMDIpVEneP_AGBDF/view?usp=drivesdk","https://drive.google.com/file/d/1_ti4Qe-44DYjtrNSFMDIpVEneP_AGBDF/view?usp=drivesdk")</f>
        <v>https://drive.google.com/file/d/1_ti4Qe-44DYjtrNSFMDIpVEneP_AGBDF/view?usp=drivesdk</v>
      </c>
      <c r="G112" s="7" t="s">
        <v>2856</v>
      </c>
      <c r="H112" s="95" t="s">
        <v>3274</v>
      </c>
      <c r="I112" s="23" t="s">
        <v>1189</v>
      </c>
      <c r="J112" s="8">
        <v>82.9</v>
      </c>
      <c r="K112" s="8">
        <v>568</v>
      </c>
      <c r="L112" s="11" t="s">
        <v>1178</v>
      </c>
      <c r="M112" s="39" t="s">
        <v>22</v>
      </c>
      <c r="N112" s="43" t="s">
        <v>675</v>
      </c>
      <c r="O112" s="43" t="s">
        <v>1584</v>
      </c>
    </row>
    <row r="113" spans="1:15" ht="13.5">
      <c r="A113" s="5">
        <v>45779</v>
      </c>
      <c r="B113" s="18" t="s">
        <v>15</v>
      </c>
      <c r="C113" s="23" t="s">
        <v>16</v>
      </c>
      <c r="D113" s="7" t="s">
        <v>2853</v>
      </c>
      <c r="E113" s="66" t="s">
        <v>2854</v>
      </c>
      <c r="F113" s="85" t="str">
        <f>HYPERLINK("https://drive.google.com/file/d/18GR0nj07ztx2UooxG033IzeeVjlSUTRs/view?usp=drivesdk","https://drive.google.com/file/d/18GR0nj07ztx2UooxG033IzeeVjlSUTRs/view?usp=drivesdk")</f>
        <v>https://drive.google.com/file/d/18GR0nj07ztx2UooxG033IzeeVjlSUTRs/view?usp=drivesdk</v>
      </c>
      <c r="G113" s="7" t="s">
        <v>2853</v>
      </c>
      <c r="H113" s="95" t="s">
        <v>3276</v>
      </c>
      <c r="I113" s="23" t="s">
        <v>1189</v>
      </c>
      <c r="J113" s="8">
        <v>97.9</v>
      </c>
      <c r="K113" s="8">
        <v>624</v>
      </c>
      <c r="L113" s="11" t="s">
        <v>2855</v>
      </c>
      <c r="M113" s="39" t="s">
        <v>22</v>
      </c>
      <c r="N113" s="43" t="s">
        <v>675</v>
      </c>
      <c r="O113" s="43" t="s">
        <v>1584</v>
      </c>
    </row>
    <row r="114" spans="1:15" ht="27" customHeight="1">
      <c r="A114" s="5">
        <v>45774</v>
      </c>
      <c r="B114" s="18" t="s">
        <v>15</v>
      </c>
      <c r="C114" s="23" t="s">
        <v>16</v>
      </c>
      <c r="D114" s="7" t="s">
        <v>2850</v>
      </c>
      <c r="E114" s="66" t="s">
        <v>2851</v>
      </c>
      <c r="F114" s="85" t="str">
        <f>HYPERLINK("https://drive.google.com/file/d/1IsTDI9mNJkUjLhUSdgNpvrdLspydsc6H/view?usp=drivesdk","https://drive.google.com/file/d/1IsTDI9mNJkUjLhUSdgNpvrdLspydsc6H/view?usp=drivesdk")</f>
        <v>https://drive.google.com/file/d/1IsTDI9mNJkUjLhUSdgNpvrdLspydsc6H/view?usp=drivesdk</v>
      </c>
      <c r="G114" s="7" t="s">
        <v>2852</v>
      </c>
      <c r="H114" s="95" t="s">
        <v>3199</v>
      </c>
      <c r="I114" s="23"/>
      <c r="J114" s="8">
        <v>87.2</v>
      </c>
      <c r="K114" s="8">
        <v>1415</v>
      </c>
      <c r="L114" s="11" t="s">
        <v>1882</v>
      </c>
      <c r="M114" s="39" t="s">
        <v>22</v>
      </c>
      <c r="N114" s="43" t="s">
        <v>675</v>
      </c>
      <c r="O114" s="42" t="s">
        <v>1584</v>
      </c>
    </row>
    <row r="115" spans="1:15" ht="13.5">
      <c r="A115" s="5">
        <v>45773</v>
      </c>
      <c r="B115" s="18" t="s">
        <v>15</v>
      </c>
      <c r="C115" s="23" t="s">
        <v>16</v>
      </c>
      <c r="D115" s="7" t="s">
        <v>2847</v>
      </c>
      <c r="E115" s="66" t="s">
        <v>2848</v>
      </c>
      <c r="F115" s="85" t="str">
        <f>HYPERLINK("https://drive.google.com/file/d/1efoaeO8zcmD21JsBezSEE7g7f9pD0DS6/view?usp=drivesdk","https://drive.google.com/file/d/1efoaeO8zcmD21JsBezSEE7g7f9pD0DS6/view?usp=drivesdk")</f>
        <v>https://drive.google.com/file/d/1efoaeO8zcmD21JsBezSEE7g7f9pD0DS6/view?usp=drivesdk</v>
      </c>
      <c r="G115" s="7" t="s">
        <v>2849</v>
      </c>
      <c r="H115" s="95" t="s">
        <v>3199</v>
      </c>
      <c r="I115" s="23" t="s">
        <v>1086</v>
      </c>
      <c r="J115" s="8">
        <v>32.299999999999997</v>
      </c>
      <c r="K115" s="8">
        <v>868</v>
      </c>
      <c r="L115" s="11" t="s">
        <v>972</v>
      </c>
      <c r="M115" s="26" t="s">
        <v>22</v>
      </c>
      <c r="N115" s="44" t="s">
        <v>675</v>
      </c>
      <c r="O115" s="44" t="s">
        <v>2761</v>
      </c>
    </row>
    <row r="116" spans="1:15" ht="40.5">
      <c r="A116" s="5">
        <v>45766</v>
      </c>
      <c r="B116" s="6" t="s">
        <v>246</v>
      </c>
      <c r="C116" s="23" t="s">
        <v>1336</v>
      </c>
      <c r="D116" s="7" t="s">
        <v>2843</v>
      </c>
      <c r="E116" s="66" t="s">
        <v>2844</v>
      </c>
      <c r="F116" s="85" t="str">
        <f>HYPERLINK("https://drive.google.com/file/d/1fekfgywC28wmIWhaSzT7Rhc0rOdm9H8F/view?usp=drivesdk","https://drive.google.com/file/d/1fekfgywC28wmIWhaSzT7Rhc0rOdm9H8F/view?usp=drivesdk")</f>
        <v>https://drive.google.com/file/d/1fekfgywC28wmIWhaSzT7Rhc0rOdm9H8F/view?usp=drivesdk</v>
      </c>
      <c r="G116" s="7" t="s">
        <v>2845</v>
      </c>
      <c r="H116" s="95" t="s">
        <v>3303</v>
      </c>
      <c r="I116" s="10"/>
      <c r="J116" s="8">
        <v>19.399999999999999</v>
      </c>
      <c r="K116" s="8">
        <v>1207</v>
      </c>
      <c r="L116" s="11" t="s">
        <v>2846</v>
      </c>
      <c r="M116" s="26" t="s">
        <v>22</v>
      </c>
      <c r="N116" s="44" t="s">
        <v>675</v>
      </c>
      <c r="O116" s="113" t="s">
        <v>2761</v>
      </c>
    </row>
    <row r="117" spans="1:15" ht="27">
      <c r="A117" s="5">
        <v>45765</v>
      </c>
      <c r="B117" s="19" t="s">
        <v>1678</v>
      </c>
      <c r="C117" s="23" t="s">
        <v>1336</v>
      </c>
      <c r="D117" s="7" t="s">
        <v>2840</v>
      </c>
      <c r="E117" s="66" t="s">
        <v>2841</v>
      </c>
      <c r="F117" s="85" t="str">
        <f>HYPERLINK("https://drive.google.com/file/d/1QPxWPbffkKNxftmBTioONvY7TgF72g6t/view?usp=drivesdk","https://drive.google.com/file/d/1QPxWPbffkKNxftmBTioONvY7TgF72g6t/view?usp=drivesdk")</f>
        <v>https://drive.google.com/file/d/1QPxWPbffkKNxftmBTioONvY7TgF72g6t/view?usp=drivesdk</v>
      </c>
      <c r="G117" s="7" t="s">
        <v>3331</v>
      </c>
      <c r="H117" s="95" t="s">
        <v>3210</v>
      </c>
      <c r="I117" s="10"/>
      <c r="J117" s="8">
        <v>7</v>
      </c>
      <c r="K117" s="8">
        <v>542</v>
      </c>
      <c r="L117" s="11" t="s">
        <v>2842</v>
      </c>
      <c r="M117" s="39" t="s">
        <v>265</v>
      </c>
      <c r="N117" s="39" t="s">
        <v>265</v>
      </c>
      <c r="O117" s="38" t="s">
        <v>265</v>
      </c>
    </row>
    <row r="118" spans="1:15" ht="40.5">
      <c r="A118" s="5">
        <v>45764</v>
      </c>
      <c r="B118" s="6" t="s">
        <v>246</v>
      </c>
      <c r="C118" s="23" t="s">
        <v>1336</v>
      </c>
      <c r="D118" s="7" t="s">
        <v>2837</v>
      </c>
      <c r="E118" s="66" t="s">
        <v>2838</v>
      </c>
      <c r="F118" s="85" t="str">
        <f>HYPERLINK("https://drive.google.com/file/d/1KYCBx6Va3zE3KC1mn9jaj1x1feqSvxUg/view?usp=drivesdk","https://drive.google.com/file/d/1KYCBx6Va3zE3KC1mn9jaj1x1feqSvxUg/view?usp=drivesdk")</f>
        <v>https://drive.google.com/file/d/1KYCBx6Va3zE3KC1mn9jaj1x1feqSvxUg/view?usp=drivesdk</v>
      </c>
      <c r="G118" s="7" t="s">
        <v>3332</v>
      </c>
      <c r="H118" s="95" t="s">
        <v>3210</v>
      </c>
      <c r="I118" s="10"/>
      <c r="J118" s="8">
        <v>27.2</v>
      </c>
      <c r="K118" s="8">
        <v>1496</v>
      </c>
      <c r="L118" s="11" t="s">
        <v>2839</v>
      </c>
      <c r="M118" s="26" t="s">
        <v>22</v>
      </c>
      <c r="N118" s="44" t="s">
        <v>675</v>
      </c>
      <c r="O118" s="113" t="s">
        <v>2761</v>
      </c>
    </row>
    <row r="119" spans="1:15" ht="27" customHeight="1">
      <c r="A119" s="5">
        <v>45763</v>
      </c>
      <c r="B119" s="19" t="s">
        <v>1678</v>
      </c>
      <c r="C119" s="23" t="s">
        <v>1336</v>
      </c>
      <c r="D119" s="7" t="s">
        <v>2834</v>
      </c>
      <c r="E119" s="66" t="s">
        <v>2835</v>
      </c>
      <c r="F119" s="85" t="str">
        <f>HYPERLINK("https://drive.google.com/file/d/17_TfmVO9cJc6g8hgoJ7NqlqJGhbSMyGK/view?usp=drivesdk","https://drive.google.com/file/d/17_TfmVO9cJc6g8hgoJ7NqlqJGhbSMyGK/view?usp=drivesdk")</f>
        <v>https://drive.google.com/file/d/17_TfmVO9cJc6g8hgoJ7NqlqJGhbSMyGK/view?usp=drivesdk</v>
      </c>
      <c r="G119" s="7" t="s">
        <v>2836</v>
      </c>
      <c r="H119" s="95" t="s">
        <v>3303</v>
      </c>
      <c r="I119" s="10"/>
      <c r="J119" s="8">
        <v>9.6</v>
      </c>
      <c r="K119" s="8">
        <v>622</v>
      </c>
      <c r="L119" s="11" t="s">
        <v>1931</v>
      </c>
      <c r="M119" s="39" t="s">
        <v>265</v>
      </c>
      <c r="N119" s="39" t="s">
        <v>265</v>
      </c>
      <c r="O119" s="39" t="s">
        <v>265</v>
      </c>
    </row>
    <row r="120" spans="1:15" ht="27" customHeight="1">
      <c r="A120" s="5">
        <v>45759</v>
      </c>
      <c r="B120" s="18" t="s">
        <v>15</v>
      </c>
      <c r="C120" s="35" t="s">
        <v>16</v>
      </c>
      <c r="D120" s="7" t="s">
        <v>2830</v>
      </c>
      <c r="E120" s="66" t="s">
        <v>2831</v>
      </c>
      <c r="F120" s="85" t="str">
        <f>HYPERLINK("https://drive.google.com/file/d/1IqScYjhnzck4mVnEUjPgNo5a9hGamldk/view?usp=drivesdk","https://drive.google.com/file/d/1IqScYjhnzck4mVnEUjPgNo5a9hGamldk/view?usp=drivesdk")</f>
        <v>https://drive.google.com/file/d/1IqScYjhnzck4mVnEUjPgNo5a9hGamldk/view?usp=drivesdk</v>
      </c>
      <c r="G120" s="7" t="s">
        <v>2832</v>
      </c>
      <c r="H120" s="95" t="s">
        <v>3306</v>
      </c>
      <c r="I120" s="24" t="s">
        <v>40</v>
      </c>
      <c r="J120" s="8">
        <v>7.4</v>
      </c>
      <c r="K120" s="8">
        <v>99</v>
      </c>
      <c r="L120" s="11" t="s">
        <v>2833</v>
      </c>
      <c r="M120" s="39" t="s">
        <v>330</v>
      </c>
      <c r="N120" s="43" t="s">
        <v>331</v>
      </c>
      <c r="O120" s="42" t="s">
        <v>332</v>
      </c>
    </row>
    <row r="121" spans="1:15">
      <c r="A121" s="5">
        <v>45756</v>
      </c>
      <c r="B121" s="6" t="s">
        <v>246</v>
      </c>
      <c r="C121" s="23" t="s">
        <v>1336</v>
      </c>
      <c r="D121" s="7" t="s">
        <v>2826</v>
      </c>
      <c r="E121" s="66" t="s">
        <v>2827</v>
      </c>
      <c r="F121" s="85" t="str">
        <f>HYPERLINK("https://drive.google.com/file/d/1XnFXsOkgGtFeYk7_L9dnJAU6uQNCfmcJ/view?usp=drivesdk","https://drive.google.com/file/d/1XnFXsOkgGtFeYk7_L9dnJAU6uQNCfmcJ/view?usp=drivesdk")</f>
        <v>https://drive.google.com/file/d/1XnFXsOkgGtFeYk7_L9dnJAU6uQNCfmcJ/view?usp=drivesdk</v>
      </c>
      <c r="G121" s="7" t="s">
        <v>2828</v>
      </c>
      <c r="H121" s="95" t="s">
        <v>3227</v>
      </c>
      <c r="I121" s="24" t="s">
        <v>40</v>
      </c>
      <c r="J121" s="8">
        <v>44.3</v>
      </c>
      <c r="K121" s="8">
        <v>860</v>
      </c>
      <c r="L121" s="11" t="s">
        <v>2829</v>
      </c>
      <c r="M121" s="26" t="s">
        <v>22</v>
      </c>
      <c r="N121" s="44" t="s">
        <v>675</v>
      </c>
      <c r="O121" s="44" t="s">
        <v>2761</v>
      </c>
    </row>
    <row r="122" spans="1:15">
      <c r="A122" s="5">
        <v>45755</v>
      </c>
      <c r="B122" s="18" t="s">
        <v>15</v>
      </c>
      <c r="C122" s="23" t="s">
        <v>16</v>
      </c>
      <c r="D122" s="7" t="s">
        <v>2215</v>
      </c>
      <c r="E122" s="66" t="s">
        <v>2823</v>
      </c>
      <c r="F122" s="85" t="str">
        <f>HYPERLINK("https://drive.google.com/file/d/1SmP7eCB8Etd7ZOFmFUcYc0oH54c92pyM/view?usp=drivesdk","https://drive.google.com/file/d/1SmP7eCB8Etd7ZOFmFUcYc0oH54c92pyM/view?usp=drivesdk")</f>
        <v>https://drive.google.com/file/d/1SmP7eCB8Etd7ZOFmFUcYc0oH54c92pyM/view?usp=drivesdk</v>
      </c>
      <c r="G122" s="7" t="s">
        <v>2824</v>
      </c>
      <c r="H122" s="95" t="s">
        <v>3227</v>
      </c>
      <c r="I122" s="12" t="s">
        <v>1610</v>
      </c>
      <c r="J122" s="8">
        <v>15.5</v>
      </c>
      <c r="K122" s="8">
        <v>186</v>
      </c>
      <c r="L122" s="11" t="s">
        <v>2825</v>
      </c>
      <c r="M122" s="39" t="s">
        <v>102</v>
      </c>
      <c r="N122" s="43" t="s">
        <v>194</v>
      </c>
      <c r="O122" s="42" t="s">
        <v>195</v>
      </c>
    </row>
    <row r="123" spans="1:15" ht="27" customHeight="1">
      <c r="A123" s="5">
        <v>45754</v>
      </c>
      <c r="B123" s="20" t="s">
        <v>1632</v>
      </c>
      <c r="C123" s="27" t="s">
        <v>1633</v>
      </c>
      <c r="D123" s="7" t="s">
        <v>2819</v>
      </c>
      <c r="E123" s="66" t="s">
        <v>2820</v>
      </c>
      <c r="F123" s="85" t="str">
        <f>HYPERLINK("https://drive.google.com/file/d/1eyHvCf9K4YW32b2I577vCFeshNsqvHvS/view?usp=drivesdk","https://drive.google.com/file/d/1eyHvCf9K4YW32b2I577vCFeshNsqvHvS/view?usp=drivesdk")</f>
        <v>https://drive.google.com/file/d/1eyHvCf9K4YW32b2I577vCFeshNsqvHvS/view?usp=drivesdk</v>
      </c>
      <c r="G123" s="7" t="s">
        <v>2821</v>
      </c>
      <c r="H123" s="95" t="s">
        <v>3227</v>
      </c>
      <c r="I123" s="24" t="s">
        <v>40</v>
      </c>
      <c r="J123" s="8">
        <v>1.2</v>
      </c>
      <c r="K123" s="8">
        <v>4</v>
      </c>
      <c r="L123" s="11" t="s">
        <v>2822</v>
      </c>
      <c r="M123" s="39" t="s">
        <v>265</v>
      </c>
      <c r="N123" s="39" t="s">
        <v>265</v>
      </c>
      <c r="O123" s="38" t="s">
        <v>265</v>
      </c>
    </row>
    <row r="124" spans="1:15" ht="27" customHeight="1">
      <c r="A124" s="5">
        <v>45753</v>
      </c>
      <c r="B124" s="18" t="s">
        <v>15</v>
      </c>
      <c r="C124" s="23" t="s">
        <v>16</v>
      </c>
      <c r="D124" s="7" t="s">
        <v>2816</v>
      </c>
      <c r="E124" s="66" t="s">
        <v>2817</v>
      </c>
      <c r="F124" s="85" t="str">
        <f>HYPERLINK("https://drive.google.com/file/d/1P-ND9fKwOlm9Ew3BhAF7DnQSxLAkIi2L/view?usp=drivesdk","https://drive.google.com/file/d/1P-ND9fKwOlm9Ew3BhAF7DnQSxLAkIi2L/view?usp=drivesdk")</f>
        <v>https://drive.google.com/file/d/1P-ND9fKwOlm9Ew3BhAF7DnQSxLAkIi2L/view?usp=drivesdk</v>
      </c>
      <c r="G124" s="7" t="s">
        <v>2818</v>
      </c>
      <c r="H124" s="95" t="s">
        <v>3227</v>
      </c>
      <c r="I124" s="24" t="s">
        <v>40</v>
      </c>
      <c r="J124" s="8">
        <v>13.9</v>
      </c>
      <c r="K124" s="8">
        <v>57</v>
      </c>
      <c r="L124" s="11" t="s">
        <v>2524</v>
      </c>
      <c r="M124" s="39" t="s">
        <v>22</v>
      </c>
      <c r="N124" s="44" t="s">
        <v>675</v>
      </c>
      <c r="O124" s="44" t="s">
        <v>2761</v>
      </c>
    </row>
    <row r="125" spans="1:15" ht="27" customHeight="1">
      <c r="A125" s="5">
        <v>45750</v>
      </c>
      <c r="B125" s="19" t="s">
        <v>1678</v>
      </c>
      <c r="C125" s="23" t="s">
        <v>1336</v>
      </c>
      <c r="D125" s="7" t="s">
        <v>2813</v>
      </c>
      <c r="E125" s="66" t="s">
        <v>2814</v>
      </c>
      <c r="F125" s="85" t="str">
        <f>HYPERLINK("https://drive.google.com/file/d/10isId6xDdgY6WwZ9MK-6UM2A7TCGz4z1/view?usp=drivesdk","https://drive.google.com/file/d/10isId6xDdgY6WwZ9MK-6UM2A7TCGz4z1/view?usp=drivesdk")</f>
        <v>https://drive.google.com/file/d/10isId6xDdgY6WwZ9MK-6UM2A7TCGz4z1/view?usp=drivesdk</v>
      </c>
      <c r="G125" s="7" t="s">
        <v>2220</v>
      </c>
      <c r="H125" s="95" t="s">
        <v>3227</v>
      </c>
      <c r="I125" s="24" t="s">
        <v>40</v>
      </c>
      <c r="J125" s="8">
        <v>1.1000000000000001</v>
      </c>
      <c r="K125" s="8">
        <v>39</v>
      </c>
      <c r="L125" s="11" t="s">
        <v>2815</v>
      </c>
      <c r="M125" s="39" t="s">
        <v>265</v>
      </c>
      <c r="N125" s="39" t="s">
        <v>265</v>
      </c>
      <c r="O125" s="38" t="s">
        <v>265</v>
      </c>
    </row>
    <row r="126" spans="1:15" ht="27" customHeight="1">
      <c r="A126" s="5">
        <v>45749</v>
      </c>
      <c r="B126" s="20" t="s">
        <v>1632</v>
      </c>
      <c r="C126" s="27" t="s">
        <v>1633</v>
      </c>
      <c r="D126" s="7" t="s">
        <v>2809</v>
      </c>
      <c r="E126" s="66" t="s">
        <v>2810</v>
      </c>
      <c r="F126" s="85" t="str">
        <f>HYPERLINK("https://drive.google.com/file/d/162uUh6KQ0mWUsTpO0Z3h8bIpCrKkjZlb/view?usp=drivesdk","https://drive.google.com/file/d/162uUh6KQ0mWUsTpO0Z3h8bIpCrKkjZlb/view?usp=drivesdk")</f>
        <v>https://drive.google.com/file/d/162uUh6KQ0mWUsTpO0Z3h8bIpCrKkjZlb/view?usp=drivesdk</v>
      </c>
      <c r="G126" s="7" t="s">
        <v>2811</v>
      </c>
      <c r="H126" s="95" t="s">
        <v>3227</v>
      </c>
      <c r="I126" s="24" t="s">
        <v>40</v>
      </c>
      <c r="J126" s="8">
        <v>7.7</v>
      </c>
      <c r="K126" s="8">
        <v>101</v>
      </c>
      <c r="L126" s="11" t="s">
        <v>2812</v>
      </c>
      <c r="M126" s="39" t="s">
        <v>265</v>
      </c>
      <c r="N126" s="39" t="s">
        <v>265</v>
      </c>
      <c r="O126" s="38" t="s">
        <v>265</v>
      </c>
    </row>
    <row r="127" spans="1:15" ht="27" customHeight="1">
      <c r="A127" s="5">
        <v>45747</v>
      </c>
      <c r="B127" s="18" t="s">
        <v>15</v>
      </c>
      <c r="C127" s="23" t="s">
        <v>16</v>
      </c>
      <c r="D127" s="7" t="s">
        <v>32</v>
      </c>
      <c r="E127" s="66" t="s">
        <v>2806</v>
      </c>
      <c r="F127" s="85" t="str">
        <f>HYPERLINK("https://drive.google.com/file/d/1rPzVdehiA_xA-Lo2Gud80ErRVuDIp5Dl/view?usp=drivesdk","https://drive.google.com/file/d/1rPzVdehiA_xA-Lo2Gud80ErRVuDIp5Dl/view?usp=drivesdk")</f>
        <v>https://drive.google.com/file/d/1rPzVdehiA_xA-Lo2Gud80ErRVuDIp5Dl/view?usp=drivesdk</v>
      </c>
      <c r="G127" s="7" t="s">
        <v>2807</v>
      </c>
      <c r="H127" s="73" t="s">
        <v>222</v>
      </c>
      <c r="I127" s="24" t="s">
        <v>40</v>
      </c>
      <c r="J127" s="8">
        <v>46.6</v>
      </c>
      <c r="K127" s="8">
        <v>161</v>
      </c>
      <c r="L127" s="11" t="s">
        <v>2808</v>
      </c>
      <c r="M127" s="39" t="s">
        <v>330</v>
      </c>
      <c r="N127" s="43" t="s">
        <v>331</v>
      </c>
      <c r="O127" s="42" t="s">
        <v>332</v>
      </c>
    </row>
    <row r="128" spans="1:15" ht="27" customHeight="1">
      <c r="A128" s="5">
        <v>45746</v>
      </c>
      <c r="B128" s="18" t="s">
        <v>15</v>
      </c>
      <c r="C128" s="23" t="s">
        <v>16</v>
      </c>
      <c r="D128" s="7" t="s">
        <v>2802</v>
      </c>
      <c r="E128" s="66" t="s">
        <v>2803</v>
      </c>
      <c r="F128" s="85" t="str">
        <f>HYPERLINK("https://drive.google.com/file/d/1GnNNv0cGiVxL5-LTiSKiYTh38PdIq8a0/view?usp=drivesdk","https://drive.google.com/file/d/1GnNNv0cGiVxL5-LTiSKiYTh38PdIq8a0/view?usp=drivesdk")</f>
        <v>https://drive.google.com/file/d/1GnNNv0cGiVxL5-LTiSKiYTh38PdIq8a0/view?usp=drivesdk</v>
      </c>
      <c r="G128" s="7" t="s">
        <v>2804</v>
      </c>
      <c r="H128" s="73" t="s">
        <v>222</v>
      </c>
      <c r="I128" s="24" t="s">
        <v>40</v>
      </c>
      <c r="J128" s="8">
        <v>61.6</v>
      </c>
      <c r="K128" s="8">
        <v>200</v>
      </c>
      <c r="L128" s="11" t="s">
        <v>2805</v>
      </c>
      <c r="M128" s="39" t="s">
        <v>330</v>
      </c>
      <c r="N128" s="43" t="s">
        <v>331</v>
      </c>
      <c r="O128" s="43" t="s">
        <v>332</v>
      </c>
    </row>
    <row r="129" spans="1:15">
      <c r="A129" s="5">
        <v>45740</v>
      </c>
      <c r="B129" s="19" t="s">
        <v>1678</v>
      </c>
      <c r="C129" s="23" t="s">
        <v>1336</v>
      </c>
      <c r="D129" s="7" t="s">
        <v>2799</v>
      </c>
      <c r="E129" s="66" t="s">
        <v>2800</v>
      </c>
      <c r="F129" s="85" t="str">
        <f>HYPERLINK("https://drive.google.com/file/d/1PpWIKs7QXh8F6vBhUHwlugdejYg-xGHo/view?usp=drivesdk","https://drive.google.com/file/d/1PpWIKs7QXh8F6vBhUHwlugdejYg-xGHo/view?usp=drivesdk")</f>
        <v>https://drive.google.com/file/d/1PpWIKs7QXh8F6vBhUHwlugdejYg-xGHo/view?usp=drivesdk</v>
      </c>
      <c r="G129" s="7" t="s">
        <v>2801</v>
      </c>
      <c r="H129" s="95" t="s">
        <v>3275</v>
      </c>
      <c r="I129" s="10"/>
      <c r="J129" s="8">
        <v>9.4</v>
      </c>
      <c r="K129" s="8">
        <v>666</v>
      </c>
      <c r="L129" s="11" t="s">
        <v>2167</v>
      </c>
      <c r="M129" s="39" t="s">
        <v>265</v>
      </c>
      <c r="N129" s="39" t="s">
        <v>265</v>
      </c>
      <c r="O129" s="38" t="s">
        <v>265</v>
      </c>
    </row>
    <row r="130" spans="1:15" ht="27" customHeight="1">
      <c r="A130" s="5">
        <v>45739</v>
      </c>
      <c r="B130" s="18" t="s">
        <v>15</v>
      </c>
      <c r="C130" s="23" t="s">
        <v>16</v>
      </c>
      <c r="D130" s="7" t="s">
        <v>2796</v>
      </c>
      <c r="E130" s="66" t="s">
        <v>2797</v>
      </c>
      <c r="F130" s="85" t="str">
        <f>HYPERLINK("https://drive.google.com/file/d/1RmOv_3n-VDn88cEi05P9nB3_DRpjSt8T/view?usp=drivesdk","https://drive.google.com/file/d/1RmOv_3n-VDn88cEi05P9nB3_DRpjSt8T/view?usp=drivesdk")</f>
        <v>https://drive.google.com/file/d/1RmOv_3n-VDn88cEi05P9nB3_DRpjSt8T/view?usp=drivesdk</v>
      </c>
      <c r="G130" s="7" t="s">
        <v>2796</v>
      </c>
      <c r="H130" s="95" t="s">
        <v>3276</v>
      </c>
      <c r="I130" s="23" t="s">
        <v>1189</v>
      </c>
      <c r="J130" s="8">
        <v>101.9</v>
      </c>
      <c r="K130" s="8">
        <v>621</v>
      </c>
      <c r="L130" s="11" t="s">
        <v>2798</v>
      </c>
      <c r="M130" s="39" t="s">
        <v>22</v>
      </c>
      <c r="N130" s="44" t="s">
        <v>675</v>
      </c>
      <c r="O130" s="113" t="s">
        <v>2761</v>
      </c>
    </row>
    <row r="131" spans="1:15" ht="27" customHeight="1">
      <c r="A131" s="5">
        <v>45738</v>
      </c>
      <c r="B131" s="18" t="s">
        <v>15</v>
      </c>
      <c r="C131" s="23" t="s">
        <v>16</v>
      </c>
      <c r="D131" s="7" t="s">
        <v>2793</v>
      </c>
      <c r="E131" s="66" t="s">
        <v>2794</v>
      </c>
      <c r="F131" s="85" t="str">
        <f>HYPERLINK("https://drive.google.com/file/d/1gxAS-y1Y57cRnCzJCpm4zro2vo3lCzNK/view?usp=drivesdk","https://drive.google.com/file/d/1gxAS-y1Y57cRnCzJCpm4zro2vo3lCzNK/view?usp=drivesdk")</f>
        <v>https://drive.google.com/file/d/1gxAS-y1Y57cRnCzJCpm4zro2vo3lCzNK/view?usp=drivesdk</v>
      </c>
      <c r="G131" s="7" t="s">
        <v>2793</v>
      </c>
      <c r="H131" s="95" t="s">
        <v>3276</v>
      </c>
      <c r="I131" s="23" t="s">
        <v>1189</v>
      </c>
      <c r="J131" s="8">
        <v>102.7</v>
      </c>
      <c r="K131" s="8">
        <v>776</v>
      </c>
      <c r="L131" s="11" t="s">
        <v>2795</v>
      </c>
      <c r="M131" s="39" t="s">
        <v>22</v>
      </c>
      <c r="N131" s="43" t="s">
        <v>675</v>
      </c>
      <c r="O131" s="43" t="s">
        <v>1584</v>
      </c>
    </row>
    <row r="132" spans="1:15" ht="27" customHeight="1">
      <c r="A132" s="5">
        <v>45736</v>
      </c>
      <c r="B132" s="18" t="s">
        <v>15</v>
      </c>
      <c r="C132" s="7" t="s">
        <v>151</v>
      </c>
      <c r="D132" s="7" t="s">
        <v>2790</v>
      </c>
      <c r="E132" s="66" t="s">
        <v>2791</v>
      </c>
      <c r="F132" s="85" t="str">
        <f>HYPERLINK("https://drive.google.com/file/d/1SKGdj_Kp3A13ZxKSj6DAOzhK3u9CP1i3/view?usp=drivesdk","https://drive.google.com/file/d/1SKGdj_Kp3A13ZxKSj6DAOzhK3u9CP1i3/view?usp=drivesdk")</f>
        <v>https://drive.google.com/file/d/1SKGdj_Kp3A13ZxKSj6DAOzhK3u9CP1i3/view?usp=drivesdk</v>
      </c>
      <c r="G132" s="7" t="s">
        <v>2792</v>
      </c>
      <c r="H132" s="95" t="s">
        <v>3199</v>
      </c>
      <c r="I132" s="10"/>
      <c r="J132" s="8">
        <v>98.3</v>
      </c>
      <c r="K132" s="8">
        <v>828</v>
      </c>
      <c r="L132" s="11" t="s">
        <v>2108</v>
      </c>
      <c r="M132" s="39" t="s">
        <v>22</v>
      </c>
      <c r="N132" s="43" t="s">
        <v>23</v>
      </c>
      <c r="O132" s="43" t="s">
        <v>136</v>
      </c>
    </row>
    <row r="133" spans="1:15">
      <c r="A133" s="5">
        <v>45725</v>
      </c>
      <c r="B133" s="18" t="s">
        <v>15</v>
      </c>
      <c r="C133" s="23" t="s">
        <v>16</v>
      </c>
      <c r="D133" s="7" t="s">
        <v>129</v>
      </c>
      <c r="E133" s="66" t="s">
        <v>2789</v>
      </c>
      <c r="F133" s="85" t="str">
        <f>HYPERLINK("https://drive.google.com/file/d/1VvoQ2nlWrHuSoT9VBjf3CKPhabqUTUAX/view?usp=drivesdk","https://drive.google.com/file/d/1VvoQ2nlWrHuSoT9VBjf3CKPhabqUTUAX/view?usp=drivesdk")</f>
        <v>https://drive.google.com/file/d/1VvoQ2nlWrHuSoT9VBjf3CKPhabqUTUAX/view?usp=drivesdk</v>
      </c>
      <c r="G133" s="7" t="s">
        <v>129</v>
      </c>
      <c r="H133" s="95" t="s">
        <v>3199</v>
      </c>
      <c r="I133" s="10"/>
      <c r="J133" s="8">
        <v>79.8</v>
      </c>
      <c r="K133" s="8">
        <v>1047</v>
      </c>
      <c r="L133" s="11" t="s">
        <v>2458</v>
      </c>
      <c r="M133" s="39" t="s">
        <v>22</v>
      </c>
      <c r="N133" s="43" t="s">
        <v>23</v>
      </c>
      <c r="O133" s="42" t="s">
        <v>136</v>
      </c>
    </row>
    <row r="134" spans="1:15" ht="27">
      <c r="A134" s="5">
        <v>45724</v>
      </c>
      <c r="B134" s="19" t="s">
        <v>1678</v>
      </c>
      <c r="C134" s="23" t="s">
        <v>1336</v>
      </c>
      <c r="D134" s="7" t="s">
        <v>3337</v>
      </c>
      <c r="E134" s="66" t="s">
        <v>2787</v>
      </c>
      <c r="F134" s="85" t="str">
        <f>HYPERLINK("https://drive.google.com/file/d/1S0r0RGCpDuvDhWq0gl4DoH_vRQaa2eq_/view?usp=drivesdk","https://drive.google.com/file/d/1S0r0RGCpDuvDhWq0gl4DoH_vRQaa2eq_/view?usp=drivesdk")</f>
        <v>https://drive.google.com/file/d/1S0r0RGCpDuvDhWq0gl4DoH_vRQaa2eq_/view?usp=drivesdk</v>
      </c>
      <c r="G134" s="7" t="s">
        <v>2788</v>
      </c>
      <c r="H134" s="73" t="s">
        <v>3254</v>
      </c>
      <c r="I134" s="10"/>
      <c r="J134" s="8">
        <v>18</v>
      </c>
      <c r="K134" s="8">
        <v>1200</v>
      </c>
      <c r="L134" s="11" t="s">
        <v>1878</v>
      </c>
      <c r="M134" s="39" t="s">
        <v>265</v>
      </c>
      <c r="N134" s="39" t="s">
        <v>265</v>
      </c>
      <c r="O134" s="39" t="s">
        <v>265</v>
      </c>
    </row>
    <row r="135" spans="1:15">
      <c r="A135" s="5">
        <v>45722</v>
      </c>
      <c r="B135" s="19" t="s">
        <v>1678</v>
      </c>
      <c r="C135" s="23" t="s">
        <v>1336</v>
      </c>
      <c r="D135" s="7" t="s">
        <v>2783</v>
      </c>
      <c r="E135" s="66" t="s">
        <v>2784</v>
      </c>
      <c r="F135" s="85" t="str">
        <f>HYPERLINK("https://drive.google.com/file/d/1TXorTulQfj6vjsTOFeNOCW7OW1rNxVWH/view?usp=drivesdk","https://drive.google.com/file/d/1TXorTulQfj6vjsTOFeNOCW7OW1rNxVWH/view?usp=drivesdk")</f>
        <v>https://drive.google.com/file/d/1TXorTulQfj6vjsTOFeNOCW7OW1rNxVWH/view?usp=drivesdk</v>
      </c>
      <c r="G135" s="7" t="s">
        <v>2785</v>
      </c>
      <c r="H135" s="95" t="s">
        <v>3199</v>
      </c>
      <c r="I135" s="25" t="s">
        <v>2415</v>
      </c>
      <c r="J135" s="8">
        <v>2.2999999999999998</v>
      </c>
      <c r="K135" s="8">
        <v>159</v>
      </c>
      <c r="L135" s="11" t="s">
        <v>2786</v>
      </c>
      <c r="M135" s="39" t="s">
        <v>265</v>
      </c>
      <c r="N135" s="39" t="s">
        <v>265</v>
      </c>
      <c r="O135" s="38" t="s">
        <v>265</v>
      </c>
    </row>
    <row r="136" spans="1:15" ht="27" customHeight="1">
      <c r="A136" s="5">
        <v>45717</v>
      </c>
      <c r="B136" s="20" t="s">
        <v>1632</v>
      </c>
      <c r="C136" s="34" t="s">
        <v>1633</v>
      </c>
      <c r="D136" s="7" t="s">
        <v>2780</v>
      </c>
      <c r="E136" s="66" t="s">
        <v>2781</v>
      </c>
      <c r="F136" s="85" t="str">
        <f>HYPERLINK("https://drive.google.com/file/d/15ml6o7kpPUdCrg6aGbNmgdENxxvuQPUF/view?usp=drivesdk","https://drive.google.com/file/d/15ml6o7kpPUdCrg6aGbNmgdENxxvuQPUF/view?usp=drivesdk")</f>
        <v>https://drive.google.com/file/d/15ml6o7kpPUdCrg6aGbNmgdENxxvuQPUF/view?usp=drivesdk</v>
      </c>
      <c r="G136" s="7" t="s">
        <v>129</v>
      </c>
      <c r="H136" s="95" t="s">
        <v>3199</v>
      </c>
      <c r="I136" s="10"/>
      <c r="J136" s="8">
        <v>3</v>
      </c>
      <c r="K136" s="8">
        <v>95</v>
      </c>
      <c r="L136" s="11" t="s">
        <v>2782</v>
      </c>
      <c r="M136" s="39" t="s">
        <v>265</v>
      </c>
      <c r="N136" s="39" t="s">
        <v>265</v>
      </c>
      <c r="O136" s="38" t="s">
        <v>265</v>
      </c>
    </row>
    <row r="137" spans="1:15">
      <c r="A137" s="5">
        <v>45703</v>
      </c>
      <c r="B137" s="18" t="s">
        <v>15</v>
      </c>
      <c r="C137" s="23" t="s">
        <v>16</v>
      </c>
      <c r="D137" s="7" t="s">
        <v>175</v>
      </c>
      <c r="E137" s="66" t="s">
        <v>2779</v>
      </c>
      <c r="F137" s="85" t="str">
        <f>HYPERLINK("https://drive.google.com/file/d/10VzW_wI-t6YgKrUnHsxhK2CTxHzUG_5p/view?usp=drivesdk","https://drive.google.com/file/d/10VzW_wI-t6YgKrUnHsxhK2CTxHzUG_5p/view?usp=drivesdk")</f>
        <v>https://drive.google.com/file/d/10VzW_wI-t6YgKrUnHsxhK2CTxHzUG_5p/view?usp=drivesdk</v>
      </c>
      <c r="G137" s="7" t="s">
        <v>175</v>
      </c>
      <c r="H137" s="95" t="s">
        <v>3199</v>
      </c>
      <c r="I137" s="10"/>
      <c r="J137" s="8">
        <v>84.5</v>
      </c>
      <c r="K137" s="8">
        <v>730</v>
      </c>
      <c r="L137" s="11" t="s">
        <v>1294</v>
      </c>
      <c r="M137" s="39" t="s">
        <v>22</v>
      </c>
      <c r="N137" s="43" t="s">
        <v>675</v>
      </c>
      <c r="O137" s="42" t="s">
        <v>1584</v>
      </c>
    </row>
    <row r="138" spans="1:15" ht="27" customHeight="1">
      <c r="A138" s="5">
        <v>45699</v>
      </c>
      <c r="B138" s="18" t="s">
        <v>15</v>
      </c>
      <c r="C138" s="23" t="s">
        <v>16</v>
      </c>
      <c r="D138" s="7" t="s">
        <v>2775</v>
      </c>
      <c r="E138" s="66" t="s">
        <v>2776</v>
      </c>
      <c r="F138" s="85" t="str">
        <f>HYPERLINK("https://drive.google.com/file/d/1WEFGJ_ddlCAcI5tuO7ak-Tlbu0b2zNba/view?usp=drivesdk","https://drive.google.com/file/d/1WEFGJ_ddlCAcI5tuO7ak-Tlbu0b2zNba/view?usp=drivesdk")</f>
        <v>https://drive.google.com/file/d/1WEFGJ_ddlCAcI5tuO7ak-Tlbu0b2zNba/view?usp=drivesdk</v>
      </c>
      <c r="G138" s="7" t="s">
        <v>2777</v>
      </c>
      <c r="H138" s="95" t="s">
        <v>3199</v>
      </c>
      <c r="I138" s="10"/>
      <c r="J138" s="8">
        <v>53</v>
      </c>
      <c r="K138" s="8">
        <v>480</v>
      </c>
      <c r="L138" s="11" t="s">
        <v>2778</v>
      </c>
      <c r="M138" s="39" t="s">
        <v>22</v>
      </c>
      <c r="N138" s="43" t="s">
        <v>675</v>
      </c>
      <c r="O138" s="42" t="s">
        <v>1584</v>
      </c>
    </row>
    <row r="139" spans="1:15" ht="27">
      <c r="A139" s="5">
        <v>45690</v>
      </c>
      <c r="B139" s="18" t="s">
        <v>15</v>
      </c>
      <c r="C139" s="23" t="s">
        <v>16</v>
      </c>
      <c r="D139" s="7" t="s">
        <v>2771</v>
      </c>
      <c r="E139" s="66" t="s">
        <v>2772</v>
      </c>
      <c r="F139" s="85" t="str">
        <f>HYPERLINK("https://drive.google.com/file/d/185hELjb3uVrK7bTOYWeD5fG-aaL9AUfk/view?usp=drivesdk","https://drive.google.com/file/d/185hELjb3uVrK7bTOYWeD5fG-aaL9AUfk/view?usp=drivesdk")</f>
        <v>https://drive.google.com/file/d/185hELjb3uVrK7bTOYWeD5fG-aaL9AUfk/view?usp=drivesdk</v>
      </c>
      <c r="G139" s="7" t="s">
        <v>2773</v>
      </c>
      <c r="H139" s="95" t="s">
        <v>3199</v>
      </c>
      <c r="I139" s="10"/>
      <c r="J139" s="8">
        <v>30.6</v>
      </c>
      <c r="K139" s="8">
        <v>438</v>
      </c>
      <c r="L139" s="11" t="s">
        <v>2774</v>
      </c>
      <c r="M139" s="39" t="s">
        <v>1896</v>
      </c>
      <c r="N139" s="43" t="s">
        <v>675</v>
      </c>
      <c r="O139" s="42" t="s">
        <v>1897</v>
      </c>
    </row>
    <row r="140" spans="1:15">
      <c r="A140" s="5">
        <v>45676</v>
      </c>
      <c r="B140" s="18" t="s">
        <v>15</v>
      </c>
      <c r="C140" s="23" t="s">
        <v>16</v>
      </c>
      <c r="D140" s="7" t="s">
        <v>32</v>
      </c>
      <c r="E140" s="66" t="s">
        <v>2768</v>
      </c>
      <c r="F140" s="85" t="str">
        <f>HYPERLINK("https://drive.google.com/file/d/16W5NRpv2d-0Bpg87VAFLzkeTcRMo5z7v/view?usp=drivesdk","https://drive.google.com/file/d/16W5NRpv2d-0Bpg87VAFLzkeTcRMo5z7v/view?usp=drivesdk")</f>
        <v>https://drive.google.com/file/d/16W5NRpv2d-0Bpg87VAFLzkeTcRMo5z7v/view?usp=drivesdk</v>
      </c>
      <c r="G140" s="7" t="s">
        <v>2769</v>
      </c>
      <c r="H140" s="73" t="s">
        <v>222</v>
      </c>
      <c r="I140" s="10"/>
      <c r="J140" s="8">
        <v>50</v>
      </c>
      <c r="K140" s="8">
        <v>109</v>
      </c>
      <c r="L140" s="11" t="s">
        <v>2770</v>
      </c>
      <c r="M140" s="26" t="s">
        <v>22</v>
      </c>
      <c r="N140" s="44" t="s">
        <v>675</v>
      </c>
      <c r="O140" s="44" t="s">
        <v>2761</v>
      </c>
    </row>
    <row r="141" spans="1:15" ht="27" customHeight="1">
      <c r="A141" s="5">
        <v>45675</v>
      </c>
      <c r="B141" s="18" t="s">
        <v>15</v>
      </c>
      <c r="C141" s="23" t="s">
        <v>223</v>
      </c>
      <c r="D141" s="7" t="s">
        <v>730</v>
      </c>
      <c r="E141" s="66" t="s">
        <v>2766</v>
      </c>
      <c r="F141" s="85" t="str">
        <f>HYPERLINK("https://drive.google.com/file/d/1Ug9Fk0dtj-13v8iW-vGlzJMLHaSJsSJa/view?usp=drivesdk","https://drive.google.com/file/d/1Ug9Fk0dtj-13v8iW-vGlzJMLHaSJsSJa/view?usp=drivesdk")</f>
        <v>https://drive.google.com/file/d/1Ug9Fk0dtj-13v8iW-vGlzJMLHaSJsSJa/view?usp=drivesdk</v>
      </c>
      <c r="G141" s="7" t="s">
        <v>727</v>
      </c>
      <c r="H141" s="95" t="s">
        <v>3209</v>
      </c>
      <c r="I141" s="10"/>
      <c r="J141" s="8">
        <v>40.1</v>
      </c>
      <c r="K141" s="8">
        <v>496</v>
      </c>
      <c r="L141" s="11" t="s">
        <v>2767</v>
      </c>
      <c r="M141" s="26" t="s">
        <v>22</v>
      </c>
      <c r="N141" s="44" t="s">
        <v>675</v>
      </c>
      <c r="O141" s="44" t="s">
        <v>2761</v>
      </c>
    </row>
    <row r="142" spans="1:15">
      <c r="A142" s="5">
        <v>45670</v>
      </c>
      <c r="B142" s="18" t="s">
        <v>15</v>
      </c>
      <c r="C142" s="23" t="s">
        <v>223</v>
      </c>
      <c r="D142" s="7" t="s">
        <v>2762</v>
      </c>
      <c r="E142" s="66" t="s">
        <v>2763</v>
      </c>
      <c r="F142" s="85" t="str">
        <f>HYPERLINK("https://drive.google.com/file/d/18J-wTSkxvo8T9lNNnx1vGEyfVUsN7Hh9/view?usp=drivesdk","https://drive.google.com/file/d/18J-wTSkxvo8T9lNNnx1vGEyfVUsN7Hh9/view?usp=drivesdk")</f>
        <v>https://drive.google.com/file/d/18J-wTSkxvo8T9lNNnx1vGEyfVUsN7Hh9/view?usp=drivesdk</v>
      </c>
      <c r="G142" s="7" t="s">
        <v>2764</v>
      </c>
      <c r="H142" s="73" t="s">
        <v>222</v>
      </c>
      <c r="I142" s="10"/>
      <c r="J142" s="8">
        <v>49.2</v>
      </c>
      <c r="K142" s="8">
        <v>827</v>
      </c>
      <c r="L142" s="11" t="s">
        <v>2765</v>
      </c>
      <c r="M142" s="26" t="s">
        <v>22</v>
      </c>
      <c r="N142" s="44" t="s">
        <v>675</v>
      </c>
      <c r="O142" s="44" t="s">
        <v>2761</v>
      </c>
    </row>
    <row r="143" spans="1:15" ht="27" customHeight="1">
      <c r="A143" s="5">
        <v>45668</v>
      </c>
      <c r="B143" s="18" t="s">
        <v>15</v>
      </c>
      <c r="C143" s="23" t="s">
        <v>223</v>
      </c>
      <c r="D143" s="7" t="s">
        <v>730</v>
      </c>
      <c r="E143" s="66" t="s">
        <v>2760</v>
      </c>
      <c r="F143" s="85" t="str">
        <f>HYPERLINK("https://drive.google.com/file/d/1xZesRz5m0EXsnr_FUKTuKYOsP4Mrd9El/view?usp=drivesdk","https://drive.google.com/file/d/1xZesRz5m0EXsnr_FUKTuKYOsP4Mrd9El/view?usp=drivesdk")</f>
        <v>https://drive.google.com/file/d/1xZesRz5m0EXsnr_FUKTuKYOsP4Mrd9El/view?usp=drivesdk</v>
      </c>
      <c r="G143" s="7" t="s">
        <v>727</v>
      </c>
      <c r="H143" s="95" t="s">
        <v>3209</v>
      </c>
      <c r="I143" s="10"/>
      <c r="J143" s="8">
        <v>36.1</v>
      </c>
      <c r="K143" s="8">
        <v>474</v>
      </c>
      <c r="L143" s="11" t="s">
        <v>2123</v>
      </c>
      <c r="M143" s="26" t="s">
        <v>22</v>
      </c>
      <c r="N143" s="44" t="s">
        <v>675</v>
      </c>
      <c r="O143" s="44" t="s">
        <v>2761</v>
      </c>
    </row>
    <row r="144" spans="1:15" ht="27" customHeight="1">
      <c r="A144" s="5">
        <v>45662</v>
      </c>
      <c r="B144" s="19" t="s">
        <v>1678</v>
      </c>
      <c r="C144" s="23" t="s">
        <v>1336</v>
      </c>
      <c r="D144" s="7" t="s">
        <v>2756</v>
      </c>
      <c r="E144" s="66" t="s">
        <v>2757</v>
      </c>
      <c r="F144" s="85" t="str">
        <f>HYPERLINK("https://drive.google.com/file/d/1Bfsq7VvkAjfHx_FlraOUPkdLluWpINpt/view?usp=drivesdk","https://drive.google.com/file/d/1Bfsq7VvkAjfHx_FlraOUPkdLluWpINpt/view?usp=drivesdk")</f>
        <v>https://drive.google.com/file/d/1Bfsq7VvkAjfHx_FlraOUPkdLluWpINpt/view?usp=drivesdk</v>
      </c>
      <c r="G144" s="7" t="s">
        <v>2758</v>
      </c>
      <c r="H144" s="95" t="s">
        <v>3199</v>
      </c>
      <c r="I144" s="10"/>
      <c r="J144" s="8">
        <v>7</v>
      </c>
      <c r="K144" s="8">
        <v>555</v>
      </c>
      <c r="L144" s="11" t="s">
        <v>2759</v>
      </c>
      <c r="M144" s="39" t="s">
        <v>265</v>
      </c>
      <c r="N144" s="39" t="s">
        <v>265</v>
      </c>
      <c r="O144" s="38" t="s">
        <v>265</v>
      </c>
    </row>
    <row r="145" spans="1:15" ht="27" customHeight="1">
      <c r="A145" s="5">
        <v>45660</v>
      </c>
      <c r="B145" s="19" t="s">
        <v>1678</v>
      </c>
      <c r="C145" s="23" t="s">
        <v>1336</v>
      </c>
      <c r="D145" s="7" t="s">
        <v>2752</v>
      </c>
      <c r="E145" s="66" t="s">
        <v>2753</v>
      </c>
      <c r="F145" s="85" t="str">
        <f>HYPERLINK("https://drive.google.com/file/d/1UEhpAUs-kYSzsmMTjCQX3O8Le1D5HoNU/view?usp=drivesdk","https://drive.google.com/file/d/1UEhpAUs-kYSzsmMTjCQX3O8Le1D5HoNU/view?usp=drivesdk")</f>
        <v>https://drive.google.com/file/d/1UEhpAUs-kYSzsmMTjCQX3O8Le1D5HoNU/view?usp=drivesdk</v>
      </c>
      <c r="G145" s="7" t="s">
        <v>2754</v>
      </c>
      <c r="H145" s="95" t="s">
        <v>3199</v>
      </c>
      <c r="I145" s="10"/>
      <c r="J145" s="8">
        <v>3.4</v>
      </c>
      <c r="K145" s="8">
        <v>145</v>
      </c>
      <c r="L145" s="11" t="s">
        <v>2755</v>
      </c>
      <c r="M145" s="39" t="s">
        <v>265</v>
      </c>
      <c r="N145" s="39" t="s">
        <v>265</v>
      </c>
      <c r="O145" s="39" t="s">
        <v>265</v>
      </c>
    </row>
    <row r="146" spans="1:15" ht="40.5" customHeight="1">
      <c r="A146" s="5">
        <v>45657</v>
      </c>
      <c r="B146" s="20" t="s">
        <v>1632</v>
      </c>
      <c r="C146" s="34" t="s">
        <v>1633</v>
      </c>
      <c r="D146" s="7" t="s">
        <v>2215</v>
      </c>
      <c r="E146" s="66" t="s">
        <v>2750</v>
      </c>
      <c r="F146" s="85" t="str">
        <f>HYPERLINK("https://drive.google.com/file/d/1kgMGzJcKQTDM2ZEj4UaohVBYPMFJy_JH/view?usp=drivesdk","https://drive.google.com/file/d/1kgMGzJcKQTDM2ZEj4UaohVBYPMFJy_JH/view?usp=drivesdk")</f>
        <v>https://drive.google.com/file/d/1kgMGzJcKQTDM2ZEj4UaohVBYPMFJy_JH/view?usp=drivesdk</v>
      </c>
      <c r="G146" s="7" t="s">
        <v>2751</v>
      </c>
      <c r="H146" s="95" t="s">
        <v>3199</v>
      </c>
      <c r="I146" s="10"/>
      <c r="J146" s="8">
        <v>7.4</v>
      </c>
      <c r="K146" s="8">
        <v>98</v>
      </c>
      <c r="L146" s="11" t="s">
        <v>1923</v>
      </c>
      <c r="M146" s="39" t="s">
        <v>265</v>
      </c>
      <c r="N146" s="39" t="s">
        <v>265</v>
      </c>
      <c r="O146" s="38" t="s">
        <v>265</v>
      </c>
    </row>
    <row r="147" spans="1:15" ht="27" customHeight="1">
      <c r="A147" s="5">
        <v>45656</v>
      </c>
      <c r="B147" s="19" t="s">
        <v>1678</v>
      </c>
      <c r="C147" s="23" t="s">
        <v>1336</v>
      </c>
      <c r="D147" s="7" t="s">
        <v>2747</v>
      </c>
      <c r="E147" s="66" t="s">
        <v>2748</v>
      </c>
      <c r="F147" s="85" t="str">
        <f>HYPERLINK("https://drive.google.com/file/d/179TiEOuCWR2IpdupDBZK0eP34Pw3anbU/view?usp=drivesdk","https://drive.google.com/file/d/179TiEOuCWR2IpdupDBZK0eP34Pw3anbU/view?usp=drivesdk")</f>
        <v>https://drive.google.com/file/d/179TiEOuCWR2IpdupDBZK0eP34Pw3anbU/view?usp=drivesdk</v>
      </c>
      <c r="G147" s="7" t="s">
        <v>2749</v>
      </c>
      <c r="H147" s="95" t="s">
        <v>3199</v>
      </c>
      <c r="I147" s="10"/>
      <c r="J147" s="8">
        <v>4.5</v>
      </c>
      <c r="K147" s="8">
        <v>405</v>
      </c>
      <c r="L147" s="11" t="s">
        <v>1895</v>
      </c>
      <c r="M147" s="39" t="s">
        <v>265</v>
      </c>
      <c r="N147" s="39" t="s">
        <v>265</v>
      </c>
      <c r="O147" s="38" t="s">
        <v>265</v>
      </c>
    </row>
    <row r="148" spans="1:15">
      <c r="A148" s="5">
        <v>45654</v>
      </c>
      <c r="B148" s="19" t="s">
        <v>1678</v>
      </c>
      <c r="C148" s="23" t="s">
        <v>1336</v>
      </c>
      <c r="D148" s="7" t="s">
        <v>2744</v>
      </c>
      <c r="E148" s="66" t="s">
        <v>2745</v>
      </c>
      <c r="F148" s="85" t="str">
        <f>HYPERLINK("https://drive.google.com/file/d/1hDMZfZgnkAmA8UPfy5E3L3jOqh_Ckh6I/view?usp=drivesdk","https://drive.google.com/file/d/1hDMZfZgnkAmA8UPfy5E3L3jOqh_Ckh6I/view?usp=drivesdk")</f>
        <v>https://drive.google.com/file/d/1hDMZfZgnkAmA8UPfy5E3L3jOqh_Ckh6I/view?usp=drivesdk</v>
      </c>
      <c r="G148" s="7" t="s">
        <v>2684</v>
      </c>
      <c r="H148" s="95" t="s">
        <v>3199</v>
      </c>
      <c r="I148" s="10"/>
      <c r="J148" s="8">
        <v>3.9</v>
      </c>
      <c r="K148" s="8">
        <v>158</v>
      </c>
      <c r="L148" s="11" t="s">
        <v>2746</v>
      </c>
      <c r="M148" s="39" t="s">
        <v>265</v>
      </c>
      <c r="N148" s="39" t="s">
        <v>265</v>
      </c>
      <c r="O148" s="38" t="s">
        <v>265</v>
      </c>
    </row>
    <row r="149" spans="1:15">
      <c r="A149" s="5">
        <v>45634</v>
      </c>
      <c r="B149" s="18" t="s">
        <v>15</v>
      </c>
      <c r="C149" s="23" t="s">
        <v>16</v>
      </c>
      <c r="D149" s="7" t="s">
        <v>2741</v>
      </c>
      <c r="E149" s="66" t="s">
        <v>2742</v>
      </c>
      <c r="F149" s="85" t="str">
        <f>HYPERLINK("https://drive.google.com/file/d/1BWWSvpNWeiPRBmrbbVgqXOYMZpHGUc2C/view?usp=drivesdk","https://drive.google.com/file/d/1BWWSvpNWeiPRBmrbbVgqXOYMZpHGUc2C/view?usp=drivesdk")</f>
        <v>https://drive.google.com/file/d/1BWWSvpNWeiPRBmrbbVgqXOYMZpHGUc2C/view?usp=drivesdk</v>
      </c>
      <c r="G149" s="7" t="s">
        <v>2567</v>
      </c>
      <c r="H149" s="95" t="s">
        <v>3221</v>
      </c>
      <c r="I149" s="10" t="s">
        <v>141</v>
      </c>
      <c r="J149" s="8">
        <v>22.1</v>
      </c>
      <c r="K149" s="8">
        <v>114</v>
      </c>
      <c r="L149" s="11" t="s">
        <v>2743</v>
      </c>
      <c r="M149" s="39" t="s">
        <v>102</v>
      </c>
      <c r="N149" s="43" t="s">
        <v>194</v>
      </c>
      <c r="O149" s="42" t="s">
        <v>195</v>
      </c>
    </row>
    <row r="150" spans="1:15" ht="27" customHeight="1">
      <c r="A150" s="5">
        <v>45599</v>
      </c>
      <c r="B150" s="18" t="s">
        <v>15</v>
      </c>
      <c r="C150" s="23" t="s">
        <v>16</v>
      </c>
      <c r="D150" s="7" t="s">
        <v>2737</v>
      </c>
      <c r="E150" s="66" t="s">
        <v>2738</v>
      </c>
      <c r="F150" s="85" t="str">
        <f>HYPERLINK("https://drive.google.com/file/d/1UdGexIvD9VkwKUG6VBNOB7QrY9Z3SS9D/view?usp=drivesdk","https://drive.google.com/file/d/1UdGexIvD9VkwKUG6VBNOB7QrY9Z3SS9D/view?usp=drivesdk")</f>
        <v>https://drive.google.com/file/d/1UdGexIvD9VkwKUG6VBNOB7QrY9Z3SS9D/view?usp=drivesdk</v>
      </c>
      <c r="G150" s="7" t="s">
        <v>2739</v>
      </c>
      <c r="H150" s="95" t="s">
        <v>3305</v>
      </c>
      <c r="I150" s="10"/>
      <c r="J150" s="8">
        <v>323.2</v>
      </c>
      <c r="K150" s="8">
        <v>1117</v>
      </c>
      <c r="L150" s="11" t="s">
        <v>2740</v>
      </c>
      <c r="M150" s="39" t="s">
        <v>22</v>
      </c>
      <c r="N150" s="42" t="s">
        <v>675</v>
      </c>
      <c r="O150" s="42" t="s">
        <v>1584</v>
      </c>
    </row>
    <row r="151" spans="1:15" ht="27">
      <c r="A151" s="5">
        <v>45579</v>
      </c>
      <c r="B151" s="19" t="s">
        <v>1678</v>
      </c>
      <c r="C151" s="23" t="s">
        <v>1336</v>
      </c>
      <c r="D151" s="7" t="s">
        <v>3342</v>
      </c>
      <c r="E151" s="66" t="s">
        <v>2736</v>
      </c>
      <c r="F151" s="85" t="str">
        <f>HYPERLINK("https://drive.google.com/file/d/1GigD8DkWz6OQEZCpI9Ko7gXA9KooWFhK/view?usp=drivesdk","https://drive.google.com/file/d/1GigD8DkWz6OQEZCpI9Ko7gXA9KooWFhK/view?usp=drivesdk")</f>
        <v>https://drive.google.com/file/d/1GigD8DkWz6OQEZCpI9Ko7gXA9KooWFhK/view?usp=drivesdk</v>
      </c>
      <c r="G151" s="7" t="s">
        <v>3343</v>
      </c>
      <c r="H151" s="95" t="s">
        <v>3198</v>
      </c>
      <c r="I151" s="10"/>
      <c r="J151" s="8">
        <v>14.1</v>
      </c>
      <c r="K151" s="8">
        <v>48</v>
      </c>
      <c r="L151" s="11" t="s">
        <v>2123</v>
      </c>
      <c r="M151" s="39" t="s">
        <v>265</v>
      </c>
      <c r="N151" s="38" t="s">
        <v>265</v>
      </c>
      <c r="O151" s="38" t="s">
        <v>265</v>
      </c>
    </row>
    <row r="152" spans="1:15" ht="40.5">
      <c r="A152" s="5">
        <v>45577</v>
      </c>
      <c r="B152" s="19" t="s">
        <v>1678</v>
      </c>
      <c r="C152" s="23" t="s">
        <v>1336</v>
      </c>
      <c r="D152" s="7" t="s">
        <v>2732</v>
      </c>
      <c r="E152" s="66" t="s">
        <v>2733</v>
      </c>
      <c r="F152" s="85" t="str">
        <f>HYPERLINK("https://drive.google.com/file/d/1bdOx3GhlUaNXDSVx7_dKD_oQ3CE81_zk/view?usp=drivesdk","https://drive.google.com/file/d/1bdOx3GhlUaNXDSVx7_dKD_oQ3CE81_zk/view?usp=drivesdk")</f>
        <v>https://drive.google.com/file/d/1bdOx3GhlUaNXDSVx7_dKD_oQ3CE81_zk/view?usp=drivesdk</v>
      </c>
      <c r="G152" s="7" t="s">
        <v>2734</v>
      </c>
      <c r="H152" s="95" t="s">
        <v>3200</v>
      </c>
      <c r="I152" s="10" t="s">
        <v>1886</v>
      </c>
      <c r="J152" s="8">
        <v>22.3</v>
      </c>
      <c r="K152" s="8">
        <v>1987</v>
      </c>
      <c r="L152" s="11" t="s">
        <v>2735</v>
      </c>
      <c r="M152" s="39" t="s">
        <v>265</v>
      </c>
      <c r="N152" s="39" t="s">
        <v>265</v>
      </c>
      <c r="O152" s="38" t="s">
        <v>265</v>
      </c>
    </row>
    <row r="153" spans="1:15" ht="27" customHeight="1">
      <c r="A153" s="5">
        <v>45571</v>
      </c>
      <c r="B153" s="19" t="s">
        <v>1678</v>
      </c>
      <c r="C153" s="23" t="s">
        <v>1336</v>
      </c>
      <c r="D153" s="7" t="s">
        <v>2730</v>
      </c>
      <c r="E153" s="66" t="s">
        <v>2731</v>
      </c>
      <c r="F153" s="85" t="str">
        <f>HYPERLINK("https://drive.google.com/file/d/1qoo-Uln2esN2p_dHd6QfFFnKw_PRETIl/view?usp=drivesdk","https://drive.google.com/file/d/1qoo-Uln2esN2p_dHd6QfFFnKw_PRETIl/view?usp=drivesdk")</f>
        <v>https://drive.google.com/file/d/1qoo-Uln2esN2p_dHd6QfFFnKw_PRETIl/view?usp=drivesdk</v>
      </c>
      <c r="G153" s="7" t="s">
        <v>880</v>
      </c>
      <c r="H153" s="95" t="s">
        <v>3245</v>
      </c>
      <c r="I153" s="10"/>
      <c r="J153" s="8">
        <v>3</v>
      </c>
      <c r="K153" s="8">
        <v>23</v>
      </c>
      <c r="L153" s="11" t="s">
        <v>1181</v>
      </c>
      <c r="M153" s="39" t="s">
        <v>265</v>
      </c>
      <c r="N153" s="39" t="s">
        <v>265</v>
      </c>
      <c r="O153" s="38" t="s">
        <v>265</v>
      </c>
    </row>
    <row r="154" spans="1:15" ht="27" customHeight="1">
      <c r="A154" s="5">
        <v>45563</v>
      </c>
      <c r="B154" s="19" t="s">
        <v>1678</v>
      </c>
      <c r="C154" s="23" t="s">
        <v>1336</v>
      </c>
      <c r="D154" s="7" t="s">
        <v>2726</v>
      </c>
      <c r="E154" s="66" t="s">
        <v>2727</v>
      </c>
      <c r="F154" s="85" t="str">
        <f>HYPERLINK("https://drive.google.com/file/d/1I5EKlSR6SzfXlrAIn2FFa3vy9mP0_RIC/view?usp=drivesdk","https://drive.google.com/file/d/1I5EKlSR6SzfXlrAIn2FFa3vy9mP0_RIC/view?usp=drivesdk")</f>
        <v>https://drive.google.com/file/d/1I5EKlSR6SzfXlrAIn2FFa3vy9mP0_RIC/view?usp=drivesdk</v>
      </c>
      <c r="G154" s="7" t="s">
        <v>2728</v>
      </c>
      <c r="H154" s="95" t="s">
        <v>3200</v>
      </c>
      <c r="I154" s="10" t="s">
        <v>1886</v>
      </c>
      <c r="J154" s="8">
        <v>12.7</v>
      </c>
      <c r="K154" s="8">
        <v>1539</v>
      </c>
      <c r="L154" s="11" t="s">
        <v>2729</v>
      </c>
      <c r="M154" s="39" t="s">
        <v>265</v>
      </c>
      <c r="N154" s="39" t="s">
        <v>265</v>
      </c>
      <c r="O154" s="38" t="s">
        <v>265</v>
      </c>
    </row>
    <row r="155" spans="1:15" ht="40.5">
      <c r="A155" s="5">
        <v>45558</v>
      </c>
      <c r="B155" s="18" t="s">
        <v>15</v>
      </c>
      <c r="C155" s="23" t="s">
        <v>16</v>
      </c>
      <c r="D155" s="7" t="s">
        <v>1514</v>
      </c>
      <c r="E155" s="66" t="s">
        <v>2723</v>
      </c>
      <c r="F155" s="85" t="str">
        <f>HYPERLINK("https://drive.google.com/file/d/1fHPmOfQrI18EI8DTy-MBkoplCw2kEkkl/view?usp=drivesdk","https://drive.google.com/file/d/1fHPmOfQrI18EI8DTy-MBkoplCw2kEkkl/view?usp=drivesdk")</f>
        <v>https://drive.google.com/file/d/1fHPmOfQrI18EI8DTy-MBkoplCw2kEkkl/view?usp=drivesdk</v>
      </c>
      <c r="G155" s="7" t="s">
        <v>2724</v>
      </c>
      <c r="H155" s="97" t="s">
        <v>3253</v>
      </c>
      <c r="I155" s="10" t="s">
        <v>1517</v>
      </c>
      <c r="J155" s="8">
        <v>75.5</v>
      </c>
      <c r="K155" s="8">
        <v>2421</v>
      </c>
      <c r="L155" s="11" t="s">
        <v>2725</v>
      </c>
      <c r="M155" s="39" t="s">
        <v>22</v>
      </c>
      <c r="N155" s="43" t="s">
        <v>675</v>
      </c>
      <c r="O155" s="42" t="s">
        <v>1584</v>
      </c>
    </row>
    <row r="156" spans="1:15" ht="27">
      <c r="A156" s="5">
        <v>45542</v>
      </c>
      <c r="B156" s="18" t="s">
        <v>15</v>
      </c>
      <c r="C156" s="23" t="s">
        <v>16</v>
      </c>
      <c r="D156" s="7" t="s">
        <v>2720</v>
      </c>
      <c r="E156" s="66" t="s">
        <v>2721</v>
      </c>
      <c r="F156" s="85" t="str">
        <f>HYPERLINK("https://drive.google.com/file/d/18ELUR6DC3hszvlf0edAJPLT0i1okgMOc/view?usp=drivesdk","https://drive.google.com/file/d/18ELUR6DC3hszvlf0edAJPLT0i1okgMOc/view?usp=drivesdk")</f>
        <v>https://drive.google.com/file/d/18ELUR6DC3hszvlf0edAJPLT0i1okgMOc/view?usp=drivesdk</v>
      </c>
      <c r="G156" s="7" t="s">
        <v>2722</v>
      </c>
      <c r="H156" s="95" t="s">
        <v>3304</v>
      </c>
      <c r="I156" s="10"/>
      <c r="J156" s="8">
        <v>82</v>
      </c>
      <c r="K156" s="8">
        <v>1586</v>
      </c>
      <c r="L156" s="11" t="s">
        <v>2482</v>
      </c>
      <c r="M156" s="39" t="s">
        <v>22</v>
      </c>
      <c r="N156" s="43" t="s">
        <v>675</v>
      </c>
      <c r="O156" s="42" t="s">
        <v>1584</v>
      </c>
    </row>
    <row r="157" spans="1:15">
      <c r="A157" s="5">
        <v>45536</v>
      </c>
      <c r="B157" s="18" t="s">
        <v>15</v>
      </c>
      <c r="C157" s="23" t="s">
        <v>16</v>
      </c>
      <c r="D157" s="7" t="s">
        <v>32</v>
      </c>
      <c r="E157" s="66" t="s">
        <v>2717</v>
      </c>
      <c r="F157" s="85" t="str">
        <f>HYPERLINK("https://drive.google.com/file/d/1joYLIopYFZj7MR5luoxpxuQYcG4AiYX8/view?usp=drivesdk","https://drive.google.com/file/d/1joYLIopYFZj7MR5luoxpxuQYcG4AiYX8/view?usp=drivesdk")</f>
        <v>https://drive.google.com/file/d/1joYLIopYFZj7MR5luoxpxuQYcG4AiYX8/view?usp=drivesdk</v>
      </c>
      <c r="G157" s="7" t="s">
        <v>2718</v>
      </c>
      <c r="H157" s="73" t="s">
        <v>222</v>
      </c>
      <c r="I157" s="10"/>
      <c r="J157" s="8">
        <v>35.700000000000003</v>
      </c>
      <c r="K157" s="8">
        <v>137</v>
      </c>
      <c r="L157" s="11" t="s">
        <v>2719</v>
      </c>
      <c r="M157" s="39" t="s">
        <v>330</v>
      </c>
      <c r="N157" s="43" t="s">
        <v>331</v>
      </c>
      <c r="O157" s="43" t="s">
        <v>332</v>
      </c>
    </row>
    <row r="158" spans="1:15">
      <c r="A158" s="5">
        <v>45528</v>
      </c>
      <c r="B158" s="20" t="s">
        <v>1632</v>
      </c>
      <c r="C158" s="23" t="s">
        <v>1633</v>
      </c>
      <c r="D158" s="7" t="s">
        <v>2430</v>
      </c>
      <c r="E158" s="66" t="s">
        <v>2715</v>
      </c>
      <c r="F158" s="85" t="str">
        <f>HYPERLINK("https://drive.google.com/file/d/1-AwGV1reBrYCXjZNCS_5dNVgTVhscDXc/view?usp=drivesdk","https://drive.google.com/file/d/1-AwGV1reBrYCXjZNCS_5dNVgTVhscDXc/view?usp=drivesdk")</f>
        <v>https://drive.google.com/file/d/1-AwGV1reBrYCXjZNCS_5dNVgTVhscDXc/view?usp=drivesdk</v>
      </c>
      <c r="G158" s="7" t="s">
        <v>2430</v>
      </c>
      <c r="H158" s="95" t="s">
        <v>3292</v>
      </c>
      <c r="I158" s="10"/>
      <c r="J158" s="8">
        <v>1.2</v>
      </c>
      <c r="K158" s="8">
        <v>22</v>
      </c>
      <c r="L158" s="11" t="s">
        <v>2716</v>
      </c>
      <c r="M158" s="39" t="s">
        <v>265</v>
      </c>
      <c r="N158" s="39" t="s">
        <v>265</v>
      </c>
      <c r="O158" s="39" t="s">
        <v>265</v>
      </c>
    </row>
    <row r="159" spans="1:15" ht="27" customHeight="1">
      <c r="A159" s="5">
        <v>45522</v>
      </c>
      <c r="B159" s="18" t="s">
        <v>15</v>
      </c>
      <c r="C159" s="23" t="s">
        <v>16</v>
      </c>
      <c r="D159" s="7" t="s">
        <v>717</v>
      </c>
      <c r="E159" s="66" t="s">
        <v>2713</v>
      </c>
      <c r="F159" s="85" t="str">
        <f>HYPERLINK("https://drive.google.com/file/d/1NOoZt47zwK2Pu3vpi96uZCJTh3lT0wQd/view?usp=drivesdk","https://drive.google.com/file/d/1NOoZt47zwK2Pu3vpi96uZCJTh3lT0wQd/view?usp=drivesdk")</f>
        <v>https://drive.google.com/file/d/1NOoZt47zwK2Pu3vpi96uZCJTh3lT0wQd/view?usp=drivesdk</v>
      </c>
      <c r="G159" s="7" t="s">
        <v>717</v>
      </c>
      <c r="H159" s="95" t="s">
        <v>3208</v>
      </c>
      <c r="I159" s="10"/>
      <c r="J159" s="8">
        <v>97.6</v>
      </c>
      <c r="K159" s="8">
        <v>300</v>
      </c>
      <c r="L159" s="11" t="s">
        <v>2714</v>
      </c>
      <c r="M159" s="39" t="s">
        <v>22</v>
      </c>
      <c r="N159" s="43" t="s">
        <v>675</v>
      </c>
      <c r="O159" s="42" t="s">
        <v>1584</v>
      </c>
    </row>
    <row r="160" spans="1:15" ht="27" customHeight="1">
      <c r="A160" s="5">
        <v>45517</v>
      </c>
      <c r="B160" s="19" t="s">
        <v>1678</v>
      </c>
      <c r="C160" s="23" t="s">
        <v>1336</v>
      </c>
      <c r="D160" s="7" t="s">
        <v>2709</v>
      </c>
      <c r="E160" s="66" t="s">
        <v>2710</v>
      </c>
      <c r="F160" s="85" t="str">
        <f>HYPERLINK("https://drive.google.com/file/d/17d3R0YrIO8Hsft6I68reMjKuy3C8hNA9/view?usp=drivesdk","https://drive.google.com/file/d/17d3R0YrIO8Hsft6I68reMjKuy3C8hNA9/view?usp=drivesdk")</f>
        <v>https://drive.google.com/file/d/17d3R0YrIO8Hsft6I68reMjKuy3C8hNA9/view?usp=drivesdk</v>
      </c>
      <c r="G160" s="7" t="s">
        <v>2711</v>
      </c>
      <c r="H160" s="95" t="s">
        <v>3260</v>
      </c>
      <c r="I160" s="10" t="s">
        <v>1886</v>
      </c>
      <c r="J160" s="8">
        <v>37.9</v>
      </c>
      <c r="K160" s="8">
        <v>2841</v>
      </c>
      <c r="L160" s="11" t="s">
        <v>2712</v>
      </c>
      <c r="M160" s="39" t="s">
        <v>265</v>
      </c>
      <c r="N160" s="39" t="s">
        <v>265</v>
      </c>
      <c r="O160" s="38" t="s">
        <v>265</v>
      </c>
    </row>
    <row r="161" spans="1:15" ht="27" customHeight="1">
      <c r="A161" s="5">
        <v>45502</v>
      </c>
      <c r="B161" s="18" t="s">
        <v>15</v>
      </c>
      <c r="C161" s="23" t="s">
        <v>16</v>
      </c>
      <c r="D161" s="7" t="s">
        <v>276</v>
      </c>
      <c r="E161" s="66" t="s">
        <v>2708</v>
      </c>
      <c r="F161" s="85" t="str">
        <f>HYPERLINK("https://drive.google.com/file/d/1atqnO7YLwghUKc4icY7XVQUXv0CLGtnD/view?usp=drivesdk","https://drive.google.com/file/d/1atqnO7YLwghUKc4icY7XVQUXv0CLGtnD/view?usp=drivesdk")</f>
        <v>https://drive.google.com/file/d/1atqnO7YLwghUKc4icY7XVQUXv0CLGtnD/view?usp=drivesdk</v>
      </c>
      <c r="G161" s="7" t="s">
        <v>383</v>
      </c>
      <c r="H161" s="95" t="s">
        <v>3202</v>
      </c>
      <c r="I161" s="7" t="s">
        <v>276</v>
      </c>
      <c r="J161" s="8">
        <v>41.7</v>
      </c>
      <c r="K161" s="8">
        <v>1292</v>
      </c>
      <c r="L161" s="11">
        <v>0.1645833333333333</v>
      </c>
      <c r="M161" s="39" t="s">
        <v>22</v>
      </c>
      <c r="N161" s="43" t="s">
        <v>23</v>
      </c>
      <c r="O161" s="43" t="s">
        <v>136</v>
      </c>
    </row>
    <row r="162" spans="1:15" ht="40.5">
      <c r="A162" s="5">
        <v>45500</v>
      </c>
      <c r="B162" s="19" t="s">
        <v>1678</v>
      </c>
      <c r="C162" s="23" t="s">
        <v>1336</v>
      </c>
      <c r="D162" s="7" t="s">
        <v>2706</v>
      </c>
      <c r="E162" s="66" t="s">
        <v>2707</v>
      </c>
      <c r="F162" s="85" t="str">
        <f>HYPERLINK("https://drive.google.com/file/d/1lRw6A4d2jTRyhnvXf3QDymEOGh3IRujt/view?usp=drivesdk","https://drive.google.com/file/d/1lRw6A4d2jTRyhnvXf3QDymEOGh3IRujt/view?usp=drivesdk")</f>
        <v>https://drive.google.com/file/d/1lRw6A4d2jTRyhnvXf3QDymEOGh3IRujt/view?usp=drivesdk</v>
      </c>
      <c r="G162" s="7" t="s">
        <v>2538</v>
      </c>
      <c r="H162" s="95" t="s">
        <v>3202</v>
      </c>
      <c r="I162" s="10" t="s">
        <v>1886</v>
      </c>
      <c r="J162" s="8">
        <v>20.2</v>
      </c>
      <c r="K162" s="8">
        <v>1920</v>
      </c>
      <c r="L162" s="11" t="s">
        <v>2176</v>
      </c>
      <c r="M162" s="39" t="s">
        <v>265</v>
      </c>
      <c r="N162" s="39" t="s">
        <v>265</v>
      </c>
      <c r="O162" s="39" t="s">
        <v>265</v>
      </c>
    </row>
    <row r="163" spans="1:15" ht="27">
      <c r="A163" s="5">
        <v>45493</v>
      </c>
      <c r="B163" s="6" t="s">
        <v>246</v>
      </c>
      <c r="C163" s="23" t="s">
        <v>1336</v>
      </c>
      <c r="D163" s="7" t="s">
        <v>2702</v>
      </c>
      <c r="E163" s="66" t="s">
        <v>2703</v>
      </c>
      <c r="F163" s="85" t="str">
        <f>HYPERLINK("https://drive.google.com/file/d/1Bq7U2JXwkknqyhVNaqK9pspJqEm59mqv/view?usp=drivesdk","https://drive.google.com/file/d/1Bq7U2JXwkknqyhVNaqK9pspJqEm59mqv/view?usp=drivesdk")</f>
        <v>https://drive.google.com/file/d/1Bq7U2JXwkknqyhVNaqK9pspJqEm59mqv/view?usp=drivesdk</v>
      </c>
      <c r="G163" s="7" t="s">
        <v>2704</v>
      </c>
      <c r="H163" s="95" t="s">
        <v>3202</v>
      </c>
      <c r="I163" s="10" t="s">
        <v>1939</v>
      </c>
      <c r="J163" s="8">
        <v>25.1</v>
      </c>
      <c r="K163" s="8">
        <v>2464</v>
      </c>
      <c r="L163" s="11" t="s">
        <v>2705</v>
      </c>
      <c r="M163" s="39" t="s">
        <v>1896</v>
      </c>
      <c r="N163" s="43" t="s">
        <v>675</v>
      </c>
      <c r="O163" s="42" t="s">
        <v>1897</v>
      </c>
    </row>
    <row r="164" spans="1:15" ht="27" customHeight="1">
      <c r="A164" s="5">
        <v>45486</v>
      </c>
      <c r="B164" s="19" t="s">
        <v>1678</v>
      </c>
      <c r="C164" s="23" t="s">
        <v>1336</v>
      </c>
      <c r="D164" s="7" t="s">
        <v>2698</v>
      </c>
      <c r="E164" s="66" t="s">
        <v>2699</v>
      </c>
      <c r="F164" s="85" t="str">
        <f>HYPERLINK("https://drive.google.com/file/d/1PBTRy2j6pEVgW0TDbQtZ5W1Bp3lgs2oa/view?usp=drivesdk","https://drive.google.com/file/d/1PBTRy2j6pEVgW0TDbQtZ5W1Bp3lgs2oa/view?usp=drivesdk")</f>
        <v>https://drive.google.com/file/d/1PBTRy2j6pEVgW0TDbQtZ5W1Bp3lgs2oa/view?usp=drivesdk</v>
      </c>
      <c r="G164" s="7" t="s">
        <v>2700</v>
      </c>
      <c r="H164" s="95" t="s">
        <v>3257</v>
      </c>
      <c r="I164" s="10" t="s">
        <v>1886</v>
      </c>
      <c r="J164" s="8">
        <v>11.7</v>
      </c>
      <c r="K164" s="8">
        <v>1125</v>
      </c>
      <c r="L164" s="11" t="s">
        <v>2701</v>
      </c>
      <c r="M164" s="39" t="s">
        <v>265</v>
      </c>
      <c r="N164" s="39" t="s">
        <v>265</v>
      </c>
      <c r="O164" s="38" t="s">
        <v>265</v>
      </c>
    </row>
    <row r="165" spans="1:15" ht="27">
      <c r="A165" s="5">
        <v>45479</v>
      </c>
      <c r="B165" s="19" t="s">
        <v>1678</v>
      </c>
      <c r="C165" s="23" t="s">
        <v>1336</v>
      </c>
      <c r="D165" s="7" t="s">
        <v>2005</v>
      </c>
      <c r="E165" s="66" t="s">
        <v>2696</v>
      </c>
      <c r="F165" s="85" t="str">
        <f>HYPERLINK("https://drive.google.com/file/d/1gTWMpO3i39VthWOo9ggtBXRJ8MZaxPUR/view?usp=drivesdk","https://drive.google.com/file/d/1gTWMpO3i39VthWOo9ggtBXRJ8MZaxPUR/view?usp=drivesdk")</f>
        <v>https://drive.google.com/file/d/1gTWMpO3i39VthWOo9ggtBXRJ8MZaxPUR/view?usp=drivesdk</v>
      </c>
      <c r="G165" s="7" t="s">
        <v>2697</v>
      </c>
      <c r="H165" s="95" t="s">
        <v>3202</v>
      </c>
      <c r="I165" s="10" t="s">
        <v>1886</v>
      </c>
      <c r="J165" s="8">
        <v>13.4</v>
      </c>
      <c r="K165" s="8">
        <v>1593</v>
      </c>
      <c r="L165" s="11" t="s">
        <v>1788</v>
      </c>
      <c r="M165" s="39" t="s">
        <v>265</v>
      </c>
      <c r="N165" s="39" t="s">
        <v>265</v>
      </c>
      <c r="O165" s="38" t="s">
        <v>265</v>
      </c>
    </row>
    <row r="166" spans="1:15" ht="27">
      <c r="A166" s="5">
        <v>45458</v>
      </c>
      <c r="B166" s="19" t="s">
        <v>1678</v>
      </c>
      <c r="C166" s="23" t="s">
        <v>1336</v>
      </c>
      <c r="D166" s="7" t="s">
        <v>2693</v>
      </c>
      <c r="E166" s="66" t="s">
        <v>2694</v>
      </c>
      <c r="F166" s="85" t="str">
        <f>HYPERLINK("https://drive.google.com/file/d/17ZVwsGS20Ac7AKOPAm49b1ZwXUNFivpI/view?usp=drivesdk","https://drive.google.com/file/d/17ZVwsGS20Ac7AKOPAm49b1ZwXUNFivpI/view?usp=drivesdk")</f>
        <v>https://drive.google.com/file/d/17ZVwsGS20Ac7AKOPAm49b1ZwXUNFivpI/view?usp=drivesdk</v>
      </c>
      <c r="G166" s="7" t="s">
        <v>2695</v>
      </c>
      <c r="H166" s="95" t="s">
        <v>3202</v>
      </c>
      <c r="I166" s="10" t="s">
        <v>1939</v>
      </c>
      <c r="J166" s="8">
        <v>10</v>
      </c>
      <c r="K166" s="8">
        <v>1159</v>
      </c>
      <c r="L166" s="11" t="s">
        <v>1113</v>
      </c>
      <c r="M166" s="39" t="s">
        <v>265</v>
      </c>
      <c r="N166" s="39" t="s">
        <v>265</v>
      </c>
      <c r="O166" s="38" t="s">
        <v>265</v>
      </c>
    </row>
    <row r="167" spans="1:15" ht="27">
      <c r="A167" s="5">
        <v>45451</v>
      </c>
      <c r="B167" s="6" t="s">
        <v>246</v>
      </c>
      <c r="C167" s="23" t="s">
        <v>1336</v>
      </c>
      <c r="D167" s="7" t="s">
        <v>2689</v>
      </c>
      <c r="E167" s="66" t="s">
        <v>2690</v>
      </c>
      <c r="F167" s="85" t="str">
        <f>HYPERLINK("https://drive.google.com/file/d/1H2WdvfeQpAmWVSZ1Jfr9udypXfX-1Z2w/view?usp=drivesdk","https://drive.google.com/file/d/1H2WdvfeQpAmWVSZ1Jfr9udypXfX-1Z2w/view?usp=drivesdk")</f>
        <v>https://drive.google.com/file/d/1H2WdvfeQpAmWVSZ1Jfr9udypXfX-1Z2w/view?usp=drivesdk</v>
      </c>
      <c r="G167" s="7" t="s">
        <v>2691</v>
      </c>
      <c r="H167" s="95" t="s">
        <v>3292</v>
      </c>
      <c r="I167" s="10"/>
      <c r="J167" s="8">
        <v>18.5</v>
      </c>
      <c r="K167" s="8">
        <v>1272</v>
      </c>
      <c r="L167" s="11" t="s">
        <v>2692</v>
      </c>
      <c r="M167" s="39" t="s">
        <v>22</v>
      </c>
      <c r="N167" s="43" t="s">
        <v>675</v>
      </c>
      <c r="O167" s="42" t="s">
        <v>879</v>
      </c>
    </row>
    <row r="168" spans="1:15" ht="40.5" customHeight="1">
      <c r="A168" s="5">
        <v>45445</v>
      </c>
      <c r="B168" s="20" t="s">
        <v>1632</v>
      </c>
      <c r="C168" s="23" t="s">
        <v>1633</v>
      </c>
      <c r="D168" s="7" t="s">
        <v>2686</v>
      </c>
      <c r="E168" s="66" t="s">
        <v>2687</v>
      </c>
      <c r="F168" s="85" t="str">
        <f>HYPERLINK("https://drive.google.com/file/d/1CyrvWElNTKW0bldVSGIJ7LBtglHTKTdq/view?usp=drivesdk","https://drive.google.com/file/d/1CyrvWElNTKW0bldVSGIJ7LBtglHTKTdq/view?usp=drivesdk")</f>
        <v>https://drive.google.com/file/d/1CyrvWElNTKW0bldVSGIJ7LBtglHTKTdq/view?usp=drivesdk</v>
      </c>
      <c r="G168" s="7" t="s">
        <v>2688</v>
      </c>
      <c r="H168" s="95" t="s">
        <v>3227</v>
      </c>
      <c r="I168" s="10" t="s">
        <v>141</v>
      </c>
      <c r="J168" s="8">
        <v>4.0999999999999996</v>
      </c>
      <c r="K168" s="8">
        <v>14</v>
      </c>
      <c r="L168" s="11" t="s">
        <v>1533</v>
      </c>
      <c r="M168" s="39" t="s">
        <v>265</v>
      </c>
      <c r="N168" s="39" t="s">
        <v>265</v>
      </c>
      <c r="O168" s="39" t="s">
        <v>265</v>
      </c>
    </row>
    <row r="169" spans="1:15" ht="27" customHeight="1">
      <c r="A169" s="5">
        <v>45444</v>
      </c>
      <c r="B169" s="19" t="s">
        <v>1678</v>
      </c>
      <c r="C169" s="23" t="s">
        <v>1336</v>
      </c>
      <c r="D169" s="7" t="s">
        <v>2682</v>
      </c>
      <c r="E169" s="66" t="s">
        <v>2683</v>
      </c>
      <c r="F169" s="85" t="str">
        <f>HYPERLINK("https://drive.google.com/file/d/1UMXgDvkn7ju0yHSozj55vHCu-ucHgl4i/view?usp=drivesdk","https://drive.google.com/file/d/1UMXgDvkn7ju0yHSozj55vHCu-ucHgl4i/view?usp=drivesdk")</f>
        <v>https://drive.google.com/file/d/1UMXgDvkn7ju0yHSozj55vHCu-ucHgl4i/view?usp=drivesdk</v>
      </c>
      <c r="G169" s="7" t="s">
        <v>3341</v>
      </c>
      <c r="H169" s="95" t="s">
        <v>3340</v>
      </c>
      <c r="I169" s="10"/>
      <c r="J169" s="8">
        <v>4.5</v>
      </c>
      <c r="K169" s="8">
        <v>187</v>
      </c>
      <c r="L169" s="11" t="s">
        <v>2685</v>
      </c>
      <c r="M169" s="39" t="s">
        <v>265</v>
      </c>
      <c r="N169" s="39" t="s">
        <v>265</v>
      </c>
      <c r="O169" s="38" t="s">
        <v>265</v>
      </c>
    </row>
    <row r="170" spans="1:15" ht="27" customHeight="1">
      <c r="A170" s="5">
        <v>45437</v>
      </c>
      <c r="B170" s="19" t="s">
        <v>1678</v>
      </c>
      <c r="C170" s="23" t="s">
        <v>1336</v>
      </c>
      <c r="D170" s="7" t="s">
        <v>2678</v>
      </c>
      <c r="E170" s="66" t="s">
        <v>2679</v>
      </c>
      <c r="F170" s="85" t="str">
        <f>HYPERLINK("https://drive.google.com/file/d/1-SjcxLeTTbsRe-rtBj6R_mO9mbFt-XSR/view?usp=drivesdk","https://drive.google.com/file/d/1-SjcxLeTTbsRe-rtBj6R_mO9mbFt-XSR/view?usp=drivesdk")</f>
        <v>https://drive.google.com/file/d/1-SjcxLeTTbsRe-rtBj6R_mO9mbFt-XSR/view?usp=drivesdk</v>
      </c>
      <c r="G170" s="7" t="s">
        <v>2680</v>
      </c>
      <c r="H170" s="95" t="s">
        <v>3202</v>
      </c>
      <c r="I170" s="10" t="s">
        <v>1886</v>
      </c>
      <c r="J170" s="8">
        <v>26.5</v>
      </c>
      <c r="K170" s="8">
        <v>1645</v>
      </c>
      <c r="L170" s="11" t="s">
        <v>2681</v>
      </c>
      <c r="M170" s="39" t="s">
        <v>265</v>
      </c>
      <c r="N170" s="39" t="s">
        <v>265</v>
      </c>
      <c r="O170" s="38" t="s">
        <v>265</v>
      </c>
    </row>
    <row r="171" spans="1:15" ht="40.5">
      <c r="A171" s="5">
        <v>45430</v>
      </c>
      <c r="B171" s="6" t="s">
        <v>246</v>
      </c>
      <c r="C171" s="23" t="s">
        <v>1336</v>
      </c>
      <c r="D171" s="7" t="s">
        <v>2472</v>
      </c>
      <c r="E171" s="66" t="s">
        <v>2675</v>
      </c>
      <c r="F171" s="85" t="str">
        <f>HYPERLINK("https://drive.google.com/file/d/1VBgUrHm8fshITfN96wLGtHltQ85bsUuK/view?usp=drivesdk","https://drive.google.com/file/d/1VBgUrHm8fshITfN96wLGtHltQ85bsUuK/view?usp=drivesdk")</f>
        <v>https://drive.google.com/file/d/1VBgUrHm8fshITfN96wLGtHltQ85bsUuK/view?usp=drivesdk</v>
      </c>
      <c r="G171" s="7" t="s">
        <v>2676</v>
      </c>
      <c r="H171" s="95" t="s">
        <v>3202</v>
      </c>
      <c r="I171" s="83" t="s">
        <v>89</v>
      </c>
      <c r="J171" s="8">
        <v>30.7</v>
      </c>
      <c r="K171" s="8">
        <v>2099</v>
      </c>
      <c r="L171" s="11" t="s">
        <v>2677</v>
      </c>
      <c r="M171" s="39" t="s">
        <v>1896</v>
      </c>
      <c r="N171" s="43" t="s">
        <v>675</v>
      </c>
      <c r="O171" s="42" t="s">
        <v>1897</v>
      </c>
    </row>
    <row r="172" spans="1:15" ht="27">
      <c r="A172" s="5">
        <v>45423</v>
      </c>
      <c r="B172" s="6" t="s">
        <v>246</v>
      </c>
      <c r="C172" s="23" t="s">
        <v>1336</v>
      </c>
      <c r="D172" s="7" t="s">
        <v>2672</v>
      </c>
      <c r="E172" s="66" t="s">
        <v>2673</v>
      </c>
      <c r="F172" s="85" t="str">
        <f>HYPERLINK("https://drive.google.com/file/d/1QvkxQ4sjUHF2M34J_30z_UfcvAX85Uqd/view?usp=drivesdk","https://drive.google.com/file/d/1QvkxQ4sjUHF2M34J_30z_UfcvAX85Uqd/view?usp=drivesdk")</f>
        <v>https://drive.google.com/file/d/1QvkxQ4sjUHF2M34J_30z_UfcvAX85Uqd/view?usp=drivesdk</v>
      </c>
      <c r="G172" s="7" t="s">
        <v>2237</v>
      </c>
      <c r="H172" s="95" t="s">
        <v>3203</v>
      </c>
      <c r="I172" s="82" t="s">
        <v>244</v>
      </c>
      <c r="J172" s="8">
        <v>39.1</v>
      </c>
      <c r="K172" s="8">
        <v>1807</v>
      </c>
      <c r="L172" s="11" t="s">
        <v>2674</v>
      </c>
      <c r="M172" s="39" t="s">
        <v>1896</v>
      </c>
      <c r="N172" s="43" t="s">
        <v>675</v>
      </c>
      <c r="O172" s="43" t="s">
        <v>1897</v>
      </c>
    </row>
    <row r="173" spans="1:15">
      <c r="A173" s="5">
        <v>45417</v>
      </c>
      <c r="B173" s="19" t="s">
        <v>1678</v>
      </c>
      <c r="C173" s="23" t="s">
        <v>1336</v>
      </c>
      <c r="D173" s="7" t="s">
        <v>2668</v>
      </c>
      <c r="E173" s="66" t="s">
        <v>2669</v>
      </c>
      <c r="F173" s="85" t="str">
        <f>HYPERLINK("https://drive.google.com/file/d/1ABBgKtdnXSDlLHzdFjtRqdefT4mDQjn7/view?usp=drivesdk","https://drive.google.com/file/d/1ABBgKtdnXSDlLHzdFjtRqdefT4mDQjn7/view?usp=drivesdk")</f>
        <v>https://drive.google.com/file/d/1ABBgKtdnXSDlLHzdFjtRqdefT4mDQjn7/view?usp=drivesdk</v>
      </c>
      <c r="G173" s="7" t="s">
        <v>2670</v>
      </c>
      <c r="H173" s="73" t="s">
        <v>3254</v>
      </c>
      <c r="I173" s="10"/>
      <c r="J173" s="8">
        <v>6.3</v>
      </c>
      <c r="K173" s="8">
        <v>727</v>
      </c>
      <c r="L173" s="11" t="s">
        <v>2671</v>
      </c>
      <c r="M173" s="39" t="s">
        <v>265</v>
      </c>
      <c r="N173" s="39" t="s">
        <v>265</v>
      </c>
      <c r="O173" s="38" t="s">
        <v>265</v>
      </c>
    </row>
    <row r="174" spans="1:15">
      <c r="A174" s="5">
        <v>45416</v>
      </c>
      <c r="B174" s="20" t="s">
        <v>1632</v>
      </c>
      <c r="C174" s="34" t="s">
        <v>1633</v>
      </c>
      <c r="D174" s="7" t="s">
        <v>2665</v>
      </c>
      <c r="E174" s="66" t="s">
        <v>2666</v>
      </c>
      <c r="F174" s="85" t="str">
        <f>HYPERLINK("https://drive.google.com/file/d/1-iiJ0cCIvGzYOoFcP9wGnaAIGhaC-h38/view?usp=drivesdk","https://drive.google.com/file/d/1-iiJ0cCIvGzYOoFcP9wGnaAIGhaC-h38/view?usp=drivesdk")</f>
        <v>https://drive.google.com/file/d/1-iiJ0cCIvGzYOoFcP9wGnaAIGhaC-h38/view?usp=drivesdk</v>
      </c>
      <c r="G174" s="7" t="s">
        <v>2667</v>
      </c>
      <c r="H174" s="95" t="s">
        <v>3199</v>
      </c>
      <c r="I174" s="10"/>
      <c r="J174" s="8">
        <v>3.1</v>
      </c>
      <c r="K174" s="8">
        <v>129</v>
      </c>
      <c r="L174" s="11" t="s">
        <v>1895</v>
      </c>
      <c r="M174" s="39" t="s">
        <v>265</v>
      </c>
      <c r="N174" s="39" t="s">
        <v>265</v>
      </c>
      <c r="O174" s="39" t="s">
        <v>265</v>
      </c>
    </row>
    <row r="175" spans="1:15" ht="27" customHeight="1">
      <c r="A175" s="5">
        <v>45415</v>
      </c>
      <c r="B175" s="19" t="s">
        <v>1678</v>
      </c>
      <c r="C175" s="23" t="s">
        <v>1336</v>
      </c>
      <c r="D175" s="7" t="s">
        <v>2661</v>
      </c>
      <c r="E175" s="66" t="s">
        <v>2662</v>
      </c>
      <c r="F175" s="85" t="str">
        <f>HYPERLINK("https://drive.google.com/file/d/1JD8gs1JRNu1JNOA_NQZFqzBuwJU-utbR/view?usp=drivesdk","https://drive.google.com/file/d/1JD8gs1JRNu1JNOA_NQZFqzBuwJU-utbR/view?usp=drivesdk")</f>
        <v>https://drive.google.com/file/d/1JD8gs1JRNu1JNOA_NQZFqzBuwJU-utbR/view?usp=drivesdk</v>
      </c>
      <c r="G175" s="7" t="s">
        <v>2663</v>
      </c>
      <c r="H175" s="95" t="s">
        <v>3303</v>
      </c>
      <c r="I175" s="10"/>
      <c r="J175" s="8">
        <v>6.5</v>
      </c>
      <c r="K175" s="8">
        <v>809</v>
      </c>
      <c r="L175" s="11" t="s">
        <v>2664</v>
      </c>
      <c r="M175" s="39" t="s">
        <v>265</v>
      </c>
      <c r="N175" s="39" t="s">
        <v>265</v>
      </c>
      <c r="O175" s="38" t="s">
        <v>265</v>
      </c>
    </row>
    <row r="176" spans="1:15" ht="27">
      <c r="A176" s="5">
        <v>45414</v>
      </c>
      <c r="B176" s="18" t="s">
        <v>15</v>
      </c>
      <c r="C176" s="23" t="s">
        <v>16</v>
      </c>
      <c r="D176" s="7" t="s">
        <v>2658</v>
      </c>
      <c r="E176" s="66" t="s">
        <v>2659</v>
      </c>
      <c r="F176" s="85" t="str">
        <f>HYPERLINK("https://drive.google.com/file/d/1lYY5lJcgjJKTTETW_ykSVIEmPJIg24pn/view?usp=drivesdk","https://drive.google.com/file/d/1lYY5lJcgjJKTTETW_ykSVIEmPJIg24pn/view?usp=drivesdk")</f>
        <v>https://drive.google.com/file/d/1lYY5lJcgjJKTTETW_ykSVIEmPJIg24pn/view?usp=drivesdk</v>
      </c>
      <c r="G176" s="7" t="s">
        <v>2660</v>
      </c>
      <c r="H176" s="73" t="s">
        <v>3302</v>
      </c>
      <c r="I176" s="10"/>
      <c r="J176" s="8">
        <v>144.69999999999999</v>
      </c>
      <c r="K176" s="8">
        <v>899</v>
      </c>
      <c r="L176" s="11" t="s">
        <v>2334</v>
      </c>
      <c r="M176" s="39" t="s">
        <v>22</v>
      </c>
      <c r="N176" s="43" t="s">
        <v>675</v>
      </c>
      <c r="O176" s="42" t="s">
        <v>1584</v>
      </c>
    </row>
    <row r="177" spans="1:15">
      <c r="A177" s="5">
        <v>45412</v>
      </c>
      <c r="B177" s="18" t="s">
        <v>15</v>
      </c>
      <c r="C177" s="23" t="s">
        <v>16</v>
      </c>
      <c r="D177" s="7" t="s">
        <v>2654</v>
      </c>
      <c r="E177" s="66" t="s">
        <v>2655</v>
      </c>
      <c r="F177" s="85" t="str">
        <f>HYPERLINK("https://drive.google.com/file/d/1x2TfpdnqUAyAJTBkXC1DpDdne_SgURyK/view?usp=drivesdk","https://drive.google.com/file/d/1x2TfpdnqUAyAJTBkXC1DpDdne_SgURyK/view?usp=drivesdk")</f>
        <v>https://drive.google.com/file/d/1x2TfpdnqUAyAJTBkXC1DpDdne_SgURyK/view?usp=drivesdk</v>
      </c>
      <c r="G177" s="7" t="s">
        <v>2656</v>
      </c>
      <c r="H177" s="73" t="s">
        <v>3302</v>
      </c>
      <c r="I177" s="10"/>
      <c r="J177" s="8">
        <v>92</v>
      </c>
      <c r="K177" s="8">
        <v>800</v>
      </c>
      <c r="L177" s="11" t="s">
        <v>2657</v>
      </c>
      <c r="M177" s="39" t="s">
        <v>22</v>
      </c>
      <c r="N177" s="43" t="s">
        <v>675</v>
      </c>
      <c r="O177" s="43" t="s">
        <v>1584</v>
      </c>
    </row>
    <row r="178" spans="1:15" ht="27" customHeight="1">
      <c r="A178" s="5">
        <v>45410</v>
      </c>
      <c r="B178" s="6" t="s">
        <v>246</v>
      </c>
      <c r="C178" s="23" t="s">
        <v>1336</v>
      </c>
      <c r="D178" s="7" t="s">
        <v>2651</v>
      </c>
      <c r="E178" s="66" t="s">
        <v>2652</v>
      </c>
      <c r="F178" s="85" t="str">
        <f>HYPERLINK("https://drive.google.com/file/d/16HiHisoh74FlbFoCL6EffpTuJgJADHrE/view?usp=drivesdk","https://drive.google.com/file/d/16HiHisoh74FlbFoCL6EffpTuJgJADHrE/view?usp=drivesdk")</f>
        <v>https://drive.google.com/file/d/16HiHisoh74FlbFoCL6EffpTuJgJADHrE/view?usp=drivesdk</v>
      </c>
      <c r="G178" s="7" t="s">
        <v>2653</v>
      </c>
      <c r="H178" s="95" t="s">
        <v>3252</v>
      </c>
      <c r="I178" s="10"/>
      <c r="J178" s="8">
        <v>18.399999999999999</v>
      </c>
      <c r="K178" s="8">
        <v>1518</v>
      </c>
      <c r="L178" s="11" t="s">
        <v>2295</v>
      </c>
      <c r="M178" s="39" t="s">
        <v>22</v>
      </c>
      <c r="N178" s="43" t="s">
        <v>675</v>
      </c>
      <c r="O178" s="43" t="s">
        <v>879</v>
      </c>
    </row>
    <row r="179" spans="1:15" ht="27" customHeight="1">
      <c r="A179" s="5">
        <v>45409</v>
      </c>
      <c r="B179" s="18" t="s">
        <v>15</v>
      </c>
      <c r="C179" s="23" t="s">
        <v>16</v>
      </c>
      <c r="D179" s="7" t="s">
        <v>2648</v>
      </c>
      <c r="E179" s="66" t="s">
        <v>2649</v>
      </c>
      <c r="F179" s="85" t="str">
        <f>HYPERLINK("https://drive.google.com/file/d/15x3u-BQbZ2_SVqpjVOxzcMROoYkHzQoN/view?usp=drivesdk","https://drive.google.com/file/d/15x3u-BQbZ2_SVqpjVOxzcMROoYkHzQoN/view?usp=drivesdk")</f>
        <v>https://drive.google.com/file/d/15x3u-BQbZ2_SVqpjVOxzcMROoYkHzQoN/view?usp=drivesdk</v>
      </c>
      <c r="G179" s="7" t="s">
        <v>2650</v>
      </c>
      <c r="H179" s="95" t="s">
        <v>3256</v>
      </c>
      <c r="I179" s="82" t="s">
        <v>1086</v>
      </c>
      <c r="J179" s="8">
        <v>12</v>
      </c>
      <c r="K179" s="8">
        <v>311</v>
      </c>
      <c r="L179" s="11" t="s">
        <v>2584</v>
      </c>
      <c r="M179" s="39" t="s">
        <v>22</v>
      </c>
      <c r="N179" s="43" t="s">
        <v>675</v>
      </c>
      <c r="O179" s="43" t="s">
        <v>879</v>
      </c>
    </row>
    <row r="180" spans="1:15" ht="27" customHeight="1">
      <c r="A180" s="5">
        <v>45403</v>
      </c>
      <c r="B180" s="18" t="s">
        <v>15</v>
      </c>
      <c r="C180" s="23" t="s">
        <v>16</v>
      </c>
      <c r="D180" s="7" t="s">
        <v>2644</v>
      </c>
      <c r="E180" s="66" t="s">
        <v>2645</v>
      </c>
      <c r="F180" s="85" t="str">
        <f>HYPERLINK("https://drive.google.com/file/d/1IY5jTVC109c8tHwR3Vso2eUbSJ1QK2vv/view?usp=drivesdk","https://drive.google.com/file/d/1IY5jTVC109c8tHwR3Vso2eUbSJ1QK2vv/view?usp=drivesdk")</f>
        <v>https://drive.google.com/file/d/1IY5jTVC109c8tHwR3Vso2eUbSJ1QK2vv/view?usp=drivesdk</v>
      </c>
      <c r="G180" s="7" t="s">
        <v>2646</v>
      </c>
      <c r="H180" s="95" t="s">
        <v>3208</v>
      </c>
      <c r="I180" s="10"/>
      <c r="J180" s="8">
        <v>4.9000000000000004</v>
      </c>
      <c r="K180" s="8">
        <v>85</v>
      </c>
      <c r="L180" s="11" t="s">
        <v>2647</v>
      </c>
      <c r="M180" s="39" t="s">
        <v>330</v>
      </c>
      <c r="N180" s="43" t="s">
        <v>331</v>
      </c>
      <c r="O180" s="42" t="s">
        <v>332</v>
      </c>
    </row>
    <row r="181" spans="1:15" ht="27" customHeight="1">
      <c r="A181" s="5">
        <v>45402</v>
      </c>
      <c r="B181" s="19" t="s">
        <v>1678</v>
      </c>
      <c r="C181" s="23" t="s">
        <v>1336</v>
      </c>
      <c r="D181" s="7" t="s">
        <v>2641</v>
      </c>
      <c r="E181" s="66" t="s">
        <v>2642</v>
      </c>
      <c r="F181" s="85" t="str">
        <f>HYPERLINK("https://drive.google.com/file/d/1E_QUgoGloUer70thpmLUt5Y9UVniezf0/view?usp=drivesdk","https://drive.google.com/file/d/1E_QUgoGloUer70thpmLUt5Y9UVniezf0/view?usp=drivesdk")</f>
        <v>https://drive.google.com/file/d/1E_QUgoGloUer70thpmLUt5Y9UVniezf0/view?usp=drivesdk</v>
      </c>
      <c r="G181" s="7" t="s">
        <v>2643</v>
      </c>
      <c r="H181" s="95" t="s">
        <v>3203</v>
      </c>
      <c r="I181" s="10"/>
      <c r="J181" s="8">
        <v>18.399999999999999</v>
      </c>
      <c r="K181" s="8">
        <v>1325</v>
      </c>
      <c r="L181" s="11" t="s">
        <v>1131</v>
      </c>
      <c r="M181" s="39" t="s">
        <v>265</v>
      </c>
      <c r="N181" s="39" t="s">
        <v>265</v>
      </c>
      <c r="O181" s="39" t="s">
        <v>265</v>
      </c>
    </row>
    <row r="182" spans="1:15" ht="18.75" customHeight="1">
      <c r="A182" s="5">
        <v>45396</v>
      </c>
      <c r="B182" s="18" t="s">
        <v>15</v>
      </c>
      <c r="C182" s="23" t="s">
        <v>16</v>
      </c>
      <c r="D182" s="7" t="s">
        <v>1475</v>
      </c>
      <c r="E182" s="66" t="s">
        <v>2639</v>
      </c>
      <c r="F182" s="85" t="str">
        <f>HYPERLINK("https://drive.google.com/file/d/1_JmOzaI-oF3PYE1fu9eLa4v2AqhiC_ow/view?usp=drivesdk","https://drive.google.com/file/d/1_JmOzaI-oF3PYE1fu9eLa4v2AqhiC_ow/view?usp=drivesdk")</f>
        <v>https://drive.google.com/file/d/1_JmOzaI-oF3PYE1fu9eLa4v2AqhiC_ow/view?usp=drivesdk</v>
      </c>
      <c r="G182" s="7" t="s">
        <v>391</v>
      </c>
      <c r="H182" s="95" t="s">
        <v>3209</v>
      </c>
      <c r="I182" s="10"/>
      <c r="J182" s="8">
        <v>107</v>
      </c>
      <c r="K182" s="8">
        <v>975</v>
      </c>
      <c r="L182" s="11" t="s">
        <v>2640</v>
      </c>
      <c r="M182" s="39" t="s">
        <v>22</v>
      </c>
      <c r="N182" s="43" t="s">
        <v>675</v>
      </c>
      <c r="O182" s="42" t="s">
        <v>1584</v>
      </c>
    </row>
    <row r="183" spans="1:15" ht="27" customHeight="1">
      <c r="A183" s="5">
        <v>45395</v>
      </c>
      <c r="B183" s="18" t="s">
        <v>15</v>
      </c>
      <c r="C183" s="23" t="s">
        <v>16</v>
      </c>
      <c r="D183" s="7" t="s">
        <v>1758</v>
      </c>
      <c r="E183" s="66" t="s">
        <v>2637</v>
      </c>
      <c r="F183" s="85" t="str">
        <f>HYPERLINK("https://drive.google.com/file/d/1fpYAwQUEO8mLSuPJnfhGr8mZf_0RXJZg/view?usp=drivesdk","https://drive.google.com/file/d/1fpYAwQUEO8mLSuPJnfhGr8mZf_0RXJZg/view?usp=drivesdk")</f>
        <v>https://drive.google.com/file/d/1fpYAwQUEO8mLSuPJnfhGr8mZf_0RXJZg/view?usp=drivesdk</v>
      </c>
      <c r="G183" s="7" t="s">
        <v>1758</v>
      </c>
      <c r="H183" s="95" t="s">
        <v>3245</v>
      </c>
      <c r="I183" s="24" t="s">
        <v>40</v>
      </c>
      <c r="J183" s="8">
        <v>15.5</v>
      </c>
      <c r="K183" s="8">
        <v>181</v>
      </c>
      <c r="L183" s="11" t="s">
        <v>2638</v>
      </c>
      <c r="M183" s="39" t="s">
        <v>102</v>
      </c>
      <c r="N183" s="43" t="s">
        <v>194</v>
      </c>
      <c r="O183" s="43" t="s">
        <v>195</v>
      </c>
    </row>
    <row r="184" spans="1:15" ht="27" customHeight="1">
      <c r="A184" s="5">
        <v>45389</v>
      </c>
      <c r="B184" s="18" t="s">
        <v>15</v>
      </c>
      <c r="C184" s="23" t="s">
        <v>16</v>
      </c>
      <c r="D184" s="7" t="s">
        <v>208</v>
      </c>
      <c r="E184" s="66" t="s">
        <v>2635</v>
      </c>
      <c r="F184" s="85" t="str">
        <f>HYPERLINK("https://drive.google.com/file/d/14ecUDw0kbCEBnAcHa5mXRFxomEdNX80A/view?usp=drivesdk","https://drive.google.com/file/d/14ecUDw0kbCEBnAcHa5mXRFxomEdNX80A/view?usp=drivesdk")</f>
        <v>https://drive.google.com/file/d/14ecUDw0kbCEBnAcHa5mXRFxomEdNX80A/view?usp=drivesdk</v>
      </c>
      <c r="G184" s="7" t="s">
        <v>2636</v>
      </c>
      <c r="H184" s="73" t="s">
        <v>222</v>
      </c>
      <c r="I184" s="24" t="s">
        <v>40</v>
      </c>
      <c r="J184" s="8">
        <v>38.299999999999997</v>
      </c>
      <c r="K184" s="8">
        <v>115</v>
      </c>
      <c r="L184" s="11" t="s">
        <v>1098</v>
      </c>
      <c r="M184" s="39" t="s">
        <v>102</v>
      </c>
      <c r="N184" s="43" t="s">
        <v>194</v>
      </c>
      <c r="O184" s="43" t="s">
        <v>195</v>
      </c>
    </row>
    <row r="185" spans="1:15" ht="27" customHeight="1">
      <c r="A185" s="5">
        <v>45388</v>
      </c>
      <c r="B185" s="18" t="s">
        <v>15</v>
      </c>
      <c r="C185" s="23" t="s">
        <v>16</v>
      </c>
      <c r="D185" s="7" t="s">
        <v>208</v>
      </c>
      <c r="E185" s="66" t="s">
        <v>2633</v>
      </c>
      <c r="F185" s="85" t="str">
        <f>HYPERLINK("https://drive.google.com/file/d/15P32O5qQr9RojAVUuK38xzTIOmXSZEop/view?usp=drivesdk","https://drive.google.com/file/d/15P32O5qQr9RojAVUuK38xzTIOmXSZEop/view?usp=drivesdk")</f>
        <v>https://drive.google.com/file/d/15P32O5qQr9RojAVUuK38xzTIOmXSZEop/view?usp=drivesdk</v>
      </c>
      <c r="G185" s="7" t="s">
        <v>2186</v>
      </c>
      <c r="H185" s="73" t="s">
        <v>222</v>
      </c>
      <c r="I185" s="31" t="s">
        <v>1610</v>
      </c>
      <c r="J185" s="8">
        <v>74.900000000000006</v>
      </c>
      <c r="K185" s="8">
        <v>499</v>
      </c>
      <c r="L185" s="11" t="s">
        <v>2634</v>
      </c>
      <c r="M185" s="39" t="s">
        <v>102</v>
      </c>
      <c r="N185" s="43" t="s">
        <v>194</v>
      </c>
      <c r="O185" s="43" t="s">
        <v>195</v>
      </c>
    </row>
    <row r="186" spans="1:15" ht="18.75" customHeight="1">
      <c r="A186" s="5">
        <v>45384</v>
      </c>
      <c r="B186" s="19" t="s">
        <v>1678</v>
      </c>
      <c r="C186" s="23" t="s">
        <v>1336</v>
      </c>
      <c r="D186" s="7" t="s">
        <v>2630</v>
      </c>
      <c r="E186" s="66" t="s">
        <v>2631</v>
      </c>
      <c r="F186" s="85" t="str">
        <f>HYPERLINK("https://drive.google.com/file/d/1LcFC7ymHKukfJnBFj14WQ2-U82WcFxsY/view?usp=drivesdk","https://drive.google.com/file/d/1LcFC7ymHKukfJnBFj14WQ2-U82WcFxsY/view?usp=drivesdk")</f>
        <v>https://drive.google.com/file/d/1LcFC7ymHKukfJnBFj14WQ2-U82WcFxsY/view?usp=drivesdk</v>
      </c>
      <c r="G186" s="7" t="s">
        <v>2630</v>
      </c>
      <c r="H186" s="95" t="s">
        <v>3203</v>
      </c>
      <c r="I186" s="10"/>
      <c r="J186" s="8">
        <v>4.9000000000000004</v>
      </c>
      <c r="K186" s="8">
        <v>150</v>
      </c>
      <c r="L186" s="11" t="s">
        <v>2632</v>
      </c>
      <c r="M186" s="39" t="s">
        <v>265</v>
      </c>
      <c r="N186" s="39" t="s">
        <v>265</v>
      </c>
      <c r="O186" s="38" t="s">
        <v>265</v>
      </c>
    </row>
    <row r="187" spans="1:15" ht="27" customHeight="1">
      <c r="A187" s="5">
        <v>45382</v>
      </c>
      <c r="B187" s="20" t="s">
        <v>1632</v>
      </c>
      <c r="C187" s="23" t="s">
        <v>1633</v>
      </c>
      <c r="D187" s="7" t="s">
        <v>2627</v>
      </c>
      <c r="E187" s="66" t="s">
        <v>2628</v>
      </c>
      <c r="F187" s="85" t="str">
        <f>HYPERLINK("https://drive.google.com/file/d/1RxqWfpArthV6sFGWR9tUM3rcmR2epC_9/view?usp=drivesdk","https://drive.google.com/file/d/1RxqWfpArthV6sFGWR9tUM3rcmR2epC_9/view?usp=drivesdk")</f>
        <v>https://drive.google.com/file/d/1RxqWfpArthV6sFGWR9tUM3rcmR2epC_9/view?usp=drivesdk</v>
      </c>
      <c r="G187" s="7" t="s">
        <v>2183</v>
      </c>
      <c r="H187" s="95" t="s">
        <v>3245</v>
      </c>
      <c r="I187" s="10"/>
      <c r="J187" s="8">
        <v>2.4</v>
      </c>
      <c r="K187" s="8">
        <v>55</v>
      </c>
      <c r="L187" s="11" t="s">
        <v>2629</v>
      </c>
      <c r="M187" s="39" t="s">
        <v>265</v>
      </c>
      <c r="N187" s="39" t="s">
        <v>265</v>
      </c>
      <c r="O187" s="39" t="s">
        <v>265</v>
      </c>
    </row>
    <row r="188" spans="1:15" ht="27">
      <c r="A188" s="5">
        <v>45381</v>
      </c>
      <c r="B188" s="6" t="s">
        <v>246</v>
      </c>
      <c r="C188" s="23" t="s">
        <v>1336</v>
      </c>
      <c r="D188" s="7" t="s">
        <v>2623</v>
      </c>
      <c r="E188" s="66" t="s">
        <v>2624</v>
      </c>
      <c r="F188" s="85" t="str">
        <f>HYPERLINK("https://drive.google.com/file/d/13Lj-Ciy8AI7FfNT9OQ4NoXKONWmTtA2l/view?usp=drivesdk","https://drive.google.com/file/d/13Lj-Ciy8AI7FfNT9OQ4NoXKONWmTtA2l/view?usp=drivesdk")</f>
        <v>https://drive.google.com/file/d/13Lj-Ciy8AI7FfNT9OQ4NoXKONWmTtA2l/view?usp=drivesdk</v>
      </c>
      <c r="G188" s="7" t="s">
        <v>2625</v>
      </c>
      <c r="H188" s="95" t="s">
        <v>3203</v>
      </c>
      <c r="I188" s="10"/>
      <c r="J188" s="8">
        <v>19.899999999999999</v>
      </c>
      <c r="K188" s="8">
        <v>1339</v>
      </c>
      <c r="L188" s="11" t="s">
        <v>2626</v>
      </c>
      <c r="M188" s="39" t="s">
        <v>1896</v>
      </c>
      <c r="N188" s="43" t="s">
        <v>675</v>
      </c>
      <c r="O188" s="42" t="s">
        <v>1897</v>
      </c>
    </row>
    <row r="189" spans="1:15">
      <c r="A189" s="5">
        <v>45375</v>
      </c>
      <c r="B189" s="19" t="s">
        <v>1678</v>
      </c>
      <c r="C189" s="23" t="s">
        <v>1336</v>
      </c>
      <c r="D189" s="7" t="s">
        <v>2619</v>
      </c>
      <c r="E189" s="66" t="s">
        <v>2620</v>
      </c>
      <c r="F189" s="85" t="str">
        <f>HYPERLINK("https://drive.google.com/file/d/1THjx8eM8fvhClHDiH44yzEmWq0Fb0tuO/view?usp=drivesdk","https://drive.google.com/file/d/1THjx8eM8fvhClHDiH44yzEmWq0Fb0tuO/view?usp=drivesdk")</f>
        <v>https://drive.google.com/file/d/1THjx8eM8fvhClHDiH44yzEmWq0Fb0tuO/view?usp=drivesdk</v>
      </c>
      <c r="G189" s="7" t="s">
        <v>2621</v>
      </c>
      <c r="H189" s="95" t="s">
        <v>3245</v>
      </c>
      <c r="I189" s="10"/>
      <c r="J189" s="8">
        <v>3.5</v>
      </c>
      <c r="K189" s="8">
        <v>318</v>
      </c>
      <c r="L189" s="11" t="s">
        <v>2622</v>
      </c>
      <c r="M189" s="39" t="s">
        <v>265</v>
      </c>
      <c r="N189" s="39" t="s">
        <v>265</v>
      </c>
      <c r="O189" s="38" t="s">
        <v>265</v>
      </c>
    </row>
    <row r="190" spans="1:15" ht="27" customHeight="1">
      <c r="A190" s="5">
        <v>45368</v>
      </c>
      <c r="B190" s="18" t="s">
        <v>15</v>
      </c>
      <c r="C190" s="23" t="s">
        <v>16</v>
      </c>
      <c r="D190" s="7" t="s">
        <v>2170</v>
      </c>
      <c r="E190" s="66" t="s">
        <v>2617</v>
      </c>
      <c r="F190" s="85" t="str">
        <f>HYPERLINK("https://drive.google.com/file/d/1zWgtQEpQHxBN67mSUhsX0gEmiwhKcWqm/view?usp=drivesdk","https://drive.google.com/file/d/1zWgtQEpQHxBN67mSUhsX0gEmiwhKcWqm/view?usp=drivesdk")</f>
        <v>https://drive.google.com/file/d/1zWgtQEpQHxBN67mSUhsX0gEmiwhKcWqm/view?usp=drivesdk</v>
      </c>
      <c r="G190" s="7" t="s">
        <v>2170</v>
      </c>
      <c r="H190" s="95" t="s">
        <v>3264</v>
      </c>
      <c r="I190" s="24" t="s">
        <v>40</v>
      </c>
      <c r="J190" s="8">
        <v>92.4</v>
      </c>
      <c r="K190" s="8">
        <v>496</v>
      </c>
      <c r="L190" s="11" t="s">
        <v>2618</v>
      </c>
      <c r="M190" s="39" t="s">
        <v>22</v>
      </c>
      <c r="N190" s="43" t="s">
        <v>675</v>
      </c>
      <c r="O190" s="42" t="s">
        <v>1584</v>
      </c>
    </row>
    <row r="191" spans="1:15" ht="27">
      <c r="A191" s="5">
        <v>45367</v>
      </c>
      <c r="B191" s="6" t="s">
        <v>246</v>
      </c>
      <c r="C191" s="23" t="s">
        <v>1336</v>
      </c>
      <c r="D191" s="7" t="s">
        <v>2613</v>
      </c>
      <c r="E191" s="66" t="s">
        <v>2614</v>
      </c>
      <c r="F191" s="85" t="str">
        <f>HYPERLINK("https://drive.google.com/file/d/1QAGD-zDKpEm6YF6i2bQWJEZd6SXgPuZL/view?usp=drivesdk","https://drive.google.com/file/d/1QAGD-zDKpEm6YF6i2bQWJEZd6SXgPuZL/view?usp=drivesdk")</f>
        <v>https://drive.google.com/file/d/1QAGD-zDKpEm6YF6i2bQWJEZd6SXgPuZL/view?usp=drivesdk</v>
      </c>
      <c r="G191" s="7" t="s">
        <v>2615</v>
      </c>
      <c r="H191" s="95" t="s">
        <v>3203</v>
      </c>
      <c r="I191" s="10"/>
      <c r="J191" s="8">
        <v>20.8</v>
      </c>
      <c r="K191" s="8">
        <v>1223</v>
      </c>
      <c r="L191" s="11" t="s">
        <v>2616</v>
      </c>
      <c r="M191" s="39" t="s">
        <v>22</v>
      </c>
      <c r="N191" s="43" t="s">
        <v>675</v>
      </c>
      <c r="O191" s="42" t="s">
        <v>1584</v>
      </c>
    </row>
    <row r="192" spans="1:15">
      <c r="A192" s="5">
        <v>45361</v>
      </c>
      <c r="B192" s="18" t="s">
        <v>15</v>
      </c>
      <c r="C192" s="23" t="s">
        <v>16</v>
      </c>
      <c r="D192" s="7" t="s">
        <v>2610</v>
      </c>
      <c r="E192" s="66" t="s">
        <v>2611</v>
      </c>
      <c r="F192" s="85" t="str">
        <f>HYPERLINK("https://drive.google.com/file/d/12t6J0y8uvQMAoS7EJFORd-pj8EPLbVau/view?usp=drivesdk","https://drive.google.com/file/d/12t6J0y8uvQMAoS7EJFORd-pj8EPLbVau/view?usp=drivesdk")</f>
        <v>https://drive.google.com/file/d/12t6J0y8uvQMAoS7EJFORd-pj8EPLbVau/view?usp=drivesdk</v>
      </c>
      <c r="G192" s="7" t="s">
        <v>2610</v>
      </c>
      <c r="H192" s="95" t="s">
        <v>3209</v>
      </c>
      <c r="I192" s="10"/>
      <c r="J192" s="8">
        <v>81</v>
      </c>
      <c r="K192" s="8">
        <v>333</v>
      </c>
      <c r="L192" s="11" t="s">
        <v>2612</v>
      </c>
      <c r="M192" s="39" t="s">
        <v>22</v>
      </c>
      <c r="N192" s="43" t="s">
        <v>23</v>
      </c>
      <c r="O192" s="42" t="s">
        <v>136</v>
      </c>
    </row>
    <row r="193" spans="1:15" ht="27">
      <c r="A193" s="5">
        <v>45360</v>
      </c>
      <c r="B193" s="57" t="s">
        <v>1678</v>
      </c>
      <c r="C193" s="23" t="s">
        <v>1336</v>
      </c>
      <c r="D193" s="7" t="s">
        <v>2607</v>
      </c>
      <c r="E193" s="66" t="s">
        <v>2608</v>
      </c>
      <c r="F193" s="85" t="str">
        <f>HYPERLINK("https://drive.google.com/file/d/1lT3s6o8dgXGg_A5w7bYOx22K-TlX__zk/view?usp=drivesdk","https://drive.google.com/file/d/1lT3s6o8dgXGg_A5w7bYOx22K-TlX__zk/view?usp=drivesdk")</f>
        <v>https://drive.google.com/file/d/1lT3s6o8dgXGg_A5w7bYOx22K-TlX__zk/view?usp=drivesdk</v>
      </c>
      <c r="G193" s="7" t="s">
        <v>2609</v>
      </c>
      <c r="H193" s="95" t="s">
        <v>3203</v>
      </c>
      <c r="I193" s="10"/>
      <c r="J193" s="8">
        <v>13.5</v>
      </c>
      <c r="K193" s="8">
        <v>1155</v>
      </c>
      <c r="L193" s="11" t="s">
        <v>2265</v>
      </c>
      <c r="M193" s="39" t="s">
        <v>265</v>
      </c>
      <c r="N193" s="39" t="s">
        <v>265</v>
      </c>
      <c r="O193" s="38" t="s">
        <v>265</v>
      </c>
    </row>
    <row r="194" spans="1:15" ht="27">
      <c r="A194" s="5">
        <v>45354</v>
      </c>
      <c r="B194" s="18" t="s">
        <v>15</v>
      </c>
      <c r="C194" s="23" t="s">
        <v>16</v>
      </c>
      <c r="D194" s="7" t="s">
        <v>2603</v>
      </c>
      <c r="E194" s="66" t="s">
        <v>2604</v>
      </c>
      <c r="F194" s="85" t="str">
        <f>HYPERLINK("https://drive.google.com/file/d/15mJukG9UgNccyOCnL80OJ5X9qmrUKW7h/view?usp=drivesdk","https://drive.google.com/file/d/15mJukG9UgNccyOCnL80OJ5X9qmrUKW7h/view?usp=drivesdk")</f>
        <v>https://drive.google.com/file/d/15mJukG9UgNccyOCnL80OJ5X9qmrUKW7h/view?usp=drivesdk</v>
      </c>
      <c r="G194" s="7" t="s">
        <v>2605</v>
      </c>
      <c r="H194" s="95" t="s">
        <v>3213</v>
      </c>
      <c r="I194" s="10"/>
      <c r="J194" s="8">
        <v>28.6</v>
      </c>
      <c r="K194" s="8">
        <v>159</v>
      </c>
      <c r="L194" s="11" t="s">
        <v>2606</v>
      </c>
      <c r="M194" s="39" t="s">
        <v>330</v>
      </c>
      <c r="N194" s="43" t="s">
        <v>331</v>
      </c>
      <c r="O194" s="43" t="s">
        <v>332</v>
      </c>
    </row>
    <row r="195" spans="1:15" ht="27" customHeight="1">
      <c r="A195" s="5">
        <v>45353</v>
      </c>
      <c r="B195" s="19" t="s">
        <v>1678</v>
      </c>
      <c r="C195" s="23" t="s">
        <v>1336</v>
      </c>
      <c r="D195" s="7" t="s">
        <v>2600</v>
      </c>
      <c r="E195" s="66" t="s">
        <v>2601</v>
      </c>
      <c r="F195" s="85" t="str">
        <f>HYPERLINK("https://drive.google.com/file/d/1DjBUsXxzj_1DAT3AYjRKcMe4_CNcrSHu/view?usp=drivesdk","https://drive.google.com/file/d/1DjBUsXxzj_1DAT3AYjRKcMe4_CNcrSHu/view?usp=drivesdk")</f>
        <v>https://drive.google.com/file/d/1DjBUsXxzj_1DAT3AYjRKcMe4_CNcrSHu/view?usp=drivesdk</v>
      </c>
      <c r="G195" s="7" t="s">
        <v>2602</v>
      </c>
      <c r="H195" s="95" t="s">
        <v>3193</v>
      </c>
      <c r="I195" s="10"/>
      <c r="J195" s="8">
        <v>12.8</v>
      </c>
      <c r="K195" s="8">
        <v>1024</v>
      </c>
      <c r="L195" s="11" t="s">
        <v>2012</v>
      </c>
      <c r="M195" s="39" t="s">
        <v>265</v>
      </c>
      <c r="N195" s="39" t="s">
        <v>265</v>
      </c>
      <c r="O195" s="38" t="s">
        <v>265</v>
      </c>
    </row>
    <row r="196" spans="1:15">
      <c r="A196" s="5">
        <v>45346</v>
      </c>
      <c r="B196" s="19" t="s">
        <v>1678</v>
      </c>
      <c r="C196" s="23" t="s">
        <v>1336</v>
      </c>
      <c r="D196" s="7" t="s">
        <v>2596</v>
      </c>
      <c r="E196" s="66" t="s">
        <v>2597</v>
      </c>
      <c r="F196" s="85" t="str">
        <f>HYPERLINK("https://drive.google.com/file/d/1z_JdEFzyomviwm68Qk2FVIa71wuGZxR1/view?usp=drivesdk","https://drive.google.com/file/d/1z_JdEFzyomviwm68Qk2FVIa71wuGZxR1/view?usp=drivesdk")</f>
        <v>https://drive.google.com/file/d/1z_JdEFzyomviwm68Qk2FVIa71wuGZxR1/view?usp=drivesdk</v>
      </c>
      <c r="G196" s="7" t="s">
        <v>2598</v>
      </c>
      <c r="H196" s="95" t="s">
        <v>3215</v>
      </c>
      <c r="I196" s="25" t="s">
        <v>629</v>
      </c>
      <c r="J196" s="8">
        <v>9</v>
      </c>
      <c r="K196" s="8">
        <v>400</v>
      </c>
      <c r="L196" s="11" t="s">
        <v>2599</v>
      </c>
      <c r="M196" s="39" t="s">
        <v>265</v>
      </c>
      <c r="N196" s="39" t="s">
        <v>265</v>
      </c>
      <c r="O196" s="38" t="s">
        <v>265</v>
      </c>
    </row>
    <row r="197" spans="1:15" ht="27">
      <c r="A197" s="5">
        <v>45334</v>
      </c>
      <c r="B197" s="19" t="s">
        <v>1678</v>
      </c>
      <c r="C197" s="23" t="s">
        <v>1336</v>
      </c>
      <c r="D197" s="7" t="s">
        <v>2592</v>
      </c>
      <c r="E197" s="66" t="s">
        <v>2593</v>
      </c>
      <c r="F197" s="85" t="str">
        <f>HYPERLINK("https://drive.google.com/file/d/1gSUiT2UO6i3C0RHNjKoy4EOQcYrxofWZ/view?usp=drivesdk","https://drive.google.com/file/d/1gSUiT2UO6i3C0RHNjKoy4EOQcYrxofWZ/view?usp=drivesdk")</f>
        <v>https://drive.google.com/file/d/1gSUiT2UO6i3C0RHNjKoy4EOQcYrxofWZ/view?usp=drivesdk</v>
      </c>
      <c r="G197" s="7" t="s">
        <v>2594</v>
      </c>
      <c r="H197" s="95" t="s">
        <v>3208</v>
      </c>
      <c r="I197" s="10"/>
      <c r="J197" s="8">
        <v>10.199999999999999</v>
      </c>
      <c r="K197" s="8">
        <v>892</v>
      </c>
      <c r="L197" s="11" t="s">
        <v>2595</v>
      </c>
      <c r="M197" s="39" t="s">
        <v>265</v>
      </c>
      <c r="N197" s="39" t="s">
        <v>265</v>
      </c>
      <c r="O197" s="38" t="s">
        <v>265</v>
      </c>
    </row>
    <row r="198" spans="1:15" ht="18.75" customHeight="1">
      <c r="A198" s="5">
        <v>45332</v>
      </c>
      <c r="B198" s="18" t="s">
        <v>15</v>
      </c>
      <c r="C198" s="23" t="s">
        <v>16</v>
      </c>
      <c r="D198" s="7" t="s">
        <v>2588</v>
      </c>
      <c r="E198" s="66" t="s">
        <v>2589</v>
      </c>
      <c r="F198" s="85" t="str">
        <f>HYPERLINK("https://drive.google.com/file/d/1xpku2ZZAOqwUrVCXdQ8UopHG_YMcuAv7/view?usp=drivesdk","https://drive.google.com/file/d/1xpku2ZZAOqwUrVCXdQ8UopHG_YMcuAv7/view?usp=drivesdk")</f>
        <v>https://drive.google.com/file/d/1xpku2ZZAOqwUrVCXdQ8UopHG_YMcuAv7/view?usp=drivesdk</v>
      </c>
      <c r="G198" s="7" t="s">
        <v>2590</v>
      </c>
      <c r="H198" s="95" t="s">
        <v>3225</v>
      </c>
      <c r="I198" s="10" t="s">
        <v>357</v>
      </c>
      <c r="J198" s="8">
        <v>218.6</v>
      </c>
      <c r="K198" s="8">
        <v>3319</v>
      </c>
      <c r="L198" s="11" t="s">
        <v>2591</v>
      </c>
      <c r="M198" s="39" t="s">
        <v>22</v>
      </c>
      <c r="N198" s="43" t="s">
        <v>675</v>
      </c>
      <c r="O198" s="42" t="s">
        <v>879</v>
      </c>
    </row>
    <row r="199" spans="1:15" ht="18.75" customHeight="1">
      <c r="A199" s="5">
        <v>45325</v>
      </c>
      <c r="B199" s="6" t="s">
        <v>246</v>
      </c>
      <c r="C199" s="23" t="s">
        <v>1336</v>
      </c>
      <c r="D199" s="7" t="s">
        <v>2585</v>
      </c>
      <c r="E199" s="66" t="s">
        <v>2586</v>
      </c>
      <c r="F199" s="85" t="str">
        <f>HYPERLINK("https://drive.google.com/file/d/1ty9Xqh5NP5f0FkiDAMA0LxqrcYMZ0xtd/view?usp=drivesdk","https://drive.google.com/file/d/1ty9Xqh5NP5f0FkiDAMA0LxqrcYMZ0xtd/view?usp=drivesdk")</f>
        <v>https://drive.google.com/file/d/1ty9Xqh5NP5f0FkiDAMA0LxqrcYMZ0xtd/view?usp=drivesdk</v>
      </c>
      <c r="G199" s="7" t="s">
        <v>2587</v>
      </c>
      <c r="H199" s="95" t="s">
        <v>3225</v>
      </c>
      <c r="I199" s="10"/>
      <c r="J199" s="8">
        <v>13</v>
      </c>
      <c r="K199" s="8">
        <v>989</v>
      </c>
      <c r="L199" s="11" t="s">
        <v>2351</v>
      </c>
      <c r="M199" s="39" t="s">
        <v>22</v>
      </c>
      <c r="N199" s="43" t="s">
        <v>675</v>
      </c>
      <c r="O199" s="42" t="s">
        <v>1584</v>
      </c>
    </row>
    <row r="200" spans="1:15">
      <c r="A200" s="5">
        <v>45319</v>
      </c>
      <c r="B200" s="20" t="s">
        <v>1632</v>
      </c>
      <c r="C200" s="23" t="s">
        <v>1633</v>
      </c>
      <c r="D200" s="7" t="s">
        <v>2578</v>
      </c>
      <c r="E200" s="66" t="s">
        <v>2579</v>
      </c>
      <c r="F200" s="85" t="str">
        <f>HYPERLINK("https://drive.google.com/file/d/1_xr4IHSm9lG9w9TolfY6XlktlIr5WyqT/view?usp=drivesdk","https://drive.google.com/file/d/1_xr4IHSm9lG9w9TolfY6XlktlIr5WyqT/view?usp=drivesdk")</f>
        <v>https://drive.google.com/file/d/1_xr4IHSm9lG9w9TolfY6XlktlIr5WyqT/view?usp=drivesdk</v>
      </c>
      <c r="G200" s="7" t="s">
        <v>2578</v>
      </c>
      <c r="H200" s="95" t="s">
        <v>3225</v>
      </c>
      <c r="I200" s="10"/>
      <c r="J200" s="8">
        <v>2.4</v>
      </c>
      <c r="K200" s="8">
        <v>182</v>
      </c>
      <c r="L200" s="11" t="s">
        <v>2580</v>
      </c>
      <c r="M200" s="39" t="s">
        <v>265</v>
      </c>
      <c r="N200" s="39" t="s">
        <v>265</v>
      </c>
      <c r="O200" s="38" t="s">
        <v>265</v>
      </c>
    </row>
    <row r="201" spans="1:15" ht="27">
      <c r="A201" s="5">
        <v>45319</v>
      </c>
      <c r="B201" s="19" t="s">
        <v>2060</v>
      </c>
      <c r="C201" s="23" t="s">
        <v>1633</v>
      </c>
      <c r="D201" s="7" t="s">
        <v>2581</v>
      </c>
      <c r="E201" s="66" t="s">
        <v>2582</v>
      </c>
      <c r="F201" s="85" t="str">
        <f>HYPERLINK("https://drive.google.com/file/d/1hMMGa1jNI3k8s1X3fZmm6iGTIGjvXx5b/view?usp=drivesdk","https://drive.google.com/file/d/1hMMGa1jNI3k8s1X3fZmm6iGTIGjvXx5b/view?usp=drivesdk")</f>
        <v>https://drive.google.com/file/d/1hMMGa1jNI3k8s1X3fZmm6iGTIGjvXx5b/view?usp=drivesdk</v>
      </c>
      <c r="G201" s="7" t="s">
        <v>2583</v>
      </c>
      <c r="H201" s="95" t="s">
        <v>3225</v>
      </c>
      <c r="I201" s="10"/>
      <c r="J201" s="8">
        <v>5.8</v>
      </c>
      <c r="K201" s="8">
        <v>282</v>
      </c>
      <c r="L201" s="11" t="s">
        <v>2584</v>
      </c>
      <c r="M201" s="39" t="s">
        <v>22</v>
      </c>
      <c r="N201" s="43" t="s">
        <v>675</v>
      </c>
      <c r="O201" s="43" t="s">
        <v>1584</v>
      </c>
    </row>
    <row r="202" spans="1:15" ht="27" customHeight="1">
      <c r="A202" s="5">
        <v>45318</v>
      </c>
      <c r="B202" s="19" t="s">
        <v>2060</v>
      </c>
      <c r="C202" s="23" t="s">
        <v>1633</v>
      </c>
      <c r="D202" s="7" t="s">
        <v>2575</v>
      </c>
      <c r="E202" s="66" t="s">
        <v>2576</v>
      </c>
      <c r="F202" s="85" t="str">
        <f>HYPERLINK("https://drive.google.com/file/d/16CMnG71eqd9lH3_ssfs04XKO1FL6MUpV/view?usp=drivesdk","https://drive.google.com/file/d/16CMnG71eqd9lH3_ssfs04XKO1FL6MUpV/view?usp=drivesdk")</f>
        <v>https://drive.google.com/file/d/16CMnG71eqd9lH3_ssfs04XKO1FL6MUpV/view?usp=drivesdk</v>
      </c>
      <c r="G202" s="7" t="s">
        <v>2575</v>
      </c>
      <c r="H202" s="95" t="s">
        <v>3225</v>
      </c>
      <c r="I202" s="10"/>
      <c r="J202" s="8">
        <v>9.3000000000000007</v>
      </c>
      <c r="K202" s="8">
        <v>331</v>
      </c>
      <c r="L202" s="11" t="s">
        <v>2577</v>
      </c>
      <c r="M202" s="39" t="s">
        <v>22</v>
      </c>
      <c r="N202" s="43" t="s">
        <v>675</v>
      </c>
      <c r="O202" s="42" t="s">
        <v>1584</v>
      </c>
    </row>
    <row r="203" spans="1:15" ht="27" customHeight="1">
      <c r="A203" s="5">
        <v>45305</v>
      </c>
      <c r="B203" s="19" t="s">
        <v>1678</v>
      </c>
      <c r="C203" s="23" t="s">
        <v>1336</v>
      </c>
      <c r="D203" s="7" t="s">
        <v>2572</v>
      </c>
      <c r="E203" s="66" t="s">
        <v>2573</v>
      </c>
      <c r="F203" s="85" t="str">
        <f>HYPERLINK("https://drive.google.com/file/d/1hYfBV8uMx0IzeJA1R9CRCtnljq16kfyE/view?usp=drivesdk","https://drive.google.com/file/d/1hYfBV8uMx0IzeJA1R9CRCtnljq16kfyE/view?usp=drivesdk")</f>
        <v>https://drive.google.com/file/d/1hYfBV8uMx0IzeJA1R9CRCtnljq16kfyE/view?usp=drivesdk</v>
      </c>
      <c r="G203" s="7" t="s">
        <v>2574</v>
      </c>
      <c r="H203" s="95" t="s">
        <v>3203</v>
      </c>
      <c r="I203" s="10"/>
      <c r="J203" s="8">
        <v>9.1999999999999993</v>
      </c>
      <c r="K203" s="8">
        <v>546</v>
      </c>
      <c r="L203" s="11" t="s">
        <v>2524</v>
      </c>
      <c r="M203" s="39" t="s">
        <v>265</v>
      </c>
      <c r="N203" s="39" t="s">
        <v>265</v>
      </c>
      <c r="O203" s="39" t="s">
        <v>265</v>
      </c>
    </row>
    <row r="204" spans="1:15" ht="27">
      <c r="A204" s="5">
        <v>45297</v>
      </c>
      <c r="B204" s="19" t="s">
        <v>1678</v>
      </c>
      <c r="C204" s="23" t="s">
        <v>1336</v>
      </c>
      <c r="D204" s="7" t="s">
        <v>2569</v>
      </c>
      <c r="E204" s="66" t="s">
        <v>2570</v>
      </c>
      <c r="F204" s="85" t="str">
        <f>HYPERLINK("https://drive.google.com/file/d/1ysAUFgXT4azryWBaBnaivIQ453HAJcFM/view?usp=drivesdk","https://drive.google.com/file/d/1ysAUFgXT4azryWBaBnaivIQ453HAJcFM/view?usp=drivesdk")</f>
        <v>https://drive.google.com/file/d/1ysAUFgXT4azryWBaBnaivIQ453HAJcFM/view?usp=drivesdk</v>
      </c>
      <c r="G204" s="7" t="s">
        <v>2571</v>
      </c>
      <c r="H204" s="95" t="s">
        <v>3203</v>
      </c>
      <c r="I204" s="10"/>
      <c r="J204" s="8">
        <v>38.1</v>
      </c>
      <c r="K204" s="8">
        <v>815</v>
      </c>
      <c r="L204" s="11" t="s">
        <v>2015</v>
      </c>
      <c r="M204" s="39" t="s">
        <v>265</v>
      </c>
      <c r="N204" s="39" t="s">
        <v>265</v>
      </c>
      <c r="O204" s="38" t="s">
        <v>265</v>
      </c>
    </row>
    <row r="205" spans="1:15" ht="27" customHeight="1">
      <c r="A205" s="5">
        <v>45277</v>
      </c>
      <c r="B205" s="18" t="s">
        <v>15</v>
      </c>
      <c r="C205" s="16" t="s">
        <v>16</v>
      </c>
      <c r="D205" s="7" t="s">
        <v>2565</v>
      </c>
      <c r="E205" s="66" t="s">
        <v>2566</v>
      </c>
      <c r="F205" s="85" t="str">
        <f>HYPERLINK("https://drive.google.com/file/d/1nPO6bm1auO7sY9EJ6702ssCi2-SkwYNx/view?usp=drivesdk","https://drive.google.com/file/d/1nPO6bm1auO7sY9EJ6702ssCi2-SkwYNx/view?usp=drivesdk")</f>
        <v>https://drive.google.com/file/d/1nPO6bm1auO7sY9EJ6702ssCi2-SkwYNx/view?usp=drivesdk</v>
      </c>
      <c r="G205" s="7" t="s">
        <v>2567</v>
      </c>
      <c r="H205" s="95" t="s">
        <v>3221</v>
      </c>
      <c r="I205" s="10" t="s">
        <v>141</v>
      </c>
      <c r="J205" s="8">
        <v>27.3</v>
      </c>
      <c r="K205" s="8">
        <v>112</v>
      </c>
      <c r="L205" s="11" t="s">
        <v>2568</v>
      </c>
      <c r="M205" s="39" t="s">
        <v>22</v>
      </c>
      <c r="N205" s="43" t="s">
        <v>675</v>
      </c>
      <c r="O205" s="42" t="s">
        <v>1584</v>
      </c>
    </row>
    <row r="206" spans="1:15">
      <c r="A206" s="5">
        <v>45237</v>
      </c>
      <c r="B206" s="18" t="s">
        <v>15</v>
      </c>
      <c r="C206" s="16" t="s">
        <v>16</v>
      </c>
      <c r="D206" s="7" t="s">
        <v>250</v>
      </c>
      <c r="E206" s="66" t="s">
        <v>2563</v>
      </c>
      <c r="F206" s="85" t="str">
        <f>HYPERLINK("https://drive.google.com/file/d/1C8EIWfz-bmQkn8xLZGvgvsZt7fyi6z8k/view?usp=drivesdk","https://drive.google.com/file/d/1C8EIWfz-bmQkn8xLZGvgvsZt7fyi6z8k/view?usp=drivesdk")</f>
        <v>https://drive.google.com/file/d/1C8EIWfz-bmQkn8xLZGvgvsZt7fyi6z8k/view?usp=drivesdk</v>
      </c>
      <c r="G206" s="7" t="s">
        <v>250</v>
      </c>
      <c r="H206" s="95" t="s">
        <v>3208</v>
      </c>
      <c r="I206" s="10"/>
      <c r="J206" s="8">
        <v>25.1</v>
      </c>
      <c r="K206" s="8">
        <v>70</v>
      </c>
      <c r="L206" s="11" t="s">
        <v>2564</v>
      </c>
      <c r="M206" s="39" t="s">
        <v>22</v>
      </c>
      <c r="N206" s="43" t="s">
        <v>675</v>
      </c>
      <c r="O206" s="43" t="s">
        <v>1584</v>
      </c>
    </row>
    <row r="207" spans="1:15">
      <c r="A207" s="5">
        <v>45234</v>
      </c>
      <c r="B207" s="18" t="s">
        <v>15</v>
      </c>
      <c r="C207" s="16" t="s">
        <v>16</v>
      </c>
      <c r="D207" s="7" t="s">
        <v>2559</v>
      </c>
      <c r="E207" s="66" t="s">
        <v>2560</v>
      </c>
      <c r="F207" s="85" t="str">
        <f>HYPERLINK("https://drive.google.com/file/d/1AoW4rQcW7U3lpWeCeM98ardNT7Xw2LAb/view?usp=drivesdk","https://drive.google.com/file/d/1AoW4rQcW7U3lpWeCeM98ardNT7Xw2LAb/view?usp=drivesdk")</f>
        <v>https://drive.google.com/file/d/1AoW4rQcW7U3lpWeCeM98ardNT7Xw2LAb/view?usp=drivesdk</v>
      </c>
      <c r="G207" s="7" t="s">
        <v>2561</v>
      </c>
      <c r="H207" s="95" t="s">
        <v>3202</v>
      </c>
      <c r="I207" s="15" t="s">
        <v>404</v>
      </c>
      <c r="J207" s="8">
        <v>51.4</v>
      </c>
      <c r="K207" s="8">
        <v>419</v>
      </c>
      <c r="L207" s="11" t="s">
        <v>2562</v>
      </c>
      <c r="M207" s="39" t="s">
        <v>22</v>
      </c>
      <c r="N207" s="43" t="s">
        <v>675</v>
      </c>
      <c r="O207" s="43" t="s">
        <v>1584</v>
      </c>
    </row>
    <row r="208" spans="1:15" ht="40.5" customHeight="1">
      <c r="A208" s="5">
        <v>45233</v>
      </c>
      <c r="B208" s="18" t="s">
        <v>15</v>
      </c>
      <c r="C208" s="16" t="s">
        <v>16</v>
      </c>
      <c r="D208" s="7" t="s">
        <v>2556</v>
      </c>
      <c r="E208" s="66" t="s">
        <v>2557</v>
      </c>
      <c r="F208" s="85" t="str">
        <f>HYPERLINK("https://drive.google.com/file/d/1W4s7AZ7YjQL384NOuadJp-ldmKpcaE5u/view?usp=drivesdk","https://drive.google.com/file/d/1W4s7AZ7YjQL384NOuadJp-ldmKpcaE5u/view?usp=drivesdk")</f>
        <v>https://drive.google.com/file/d/1W4s7AZ7YjQL384NOuadJp-ldmKpcaE5u/view?usp=drivesdk</v>
      </c>
      <c r="G208" s="7" t="s">
        <v>2558</v>
      </c>
      <c r="H208" s="95" t="s">
        <v>3202</v>
      </c>
      <c r="I208" s="15" t="s">
        <v>404</v>
      </c>
      <c r="J208" s="8">
        <v>60.4</v>
      </c>
      <c r="K208" s="8">
        <v>1620</v>
      </c>
      <c r="L208" s="11" t="s">
        <v>2119</v>
      </c>
      <c r="M208" s="39" t="s">
        <v>1896</v>
      </c>
      <c r="N208" s="43" t="s">
        <v>675</v>
      </c>
      <c r="O208" s="42" t="s">
        <v>1897</v>
      </c>
    </row>
    <row r="209" spans="1:15" ht="27">
      <c r="A209" s="5">
        <v>45228</v>
      </c>
      <c r="B209" s="18" t="s">
        <v>15</v>
      </c>
      <c r="C209" s="23" t="s">
        <v>16</v>
      </c>
      <c r="D209" s="7" t="s">
        <v>2552</v>
      </c>
      <c r="E209" s="66" t="s">
        <v>2553</v>
      </c>
      <c r="F209" s="85" t="str">
        <f>HYPERLINK("https://drive.google.com/file/d/1R6em-jdwAbzoF_doSi8ABOt92s-654-O/view?usp=drivesdk","https://drive.google.com/file/d/1R6em-jdwAbzoF_doSi8ABOt92s-654-O/view?usp=drivesdk")</f>
        <v>https://drive.google.com/file/d/1R6em-jdwAbzoF_doSi8ABOt92s-654-O/view?usp=drivesdk</v>
      </c>
      <c r="G209" s="7" t="s">
        <v>2554</v>
      </c>
      <c r="H209" s="95" t="s">
        <v>3203</v>
      </c>
      <c r="I209" s="15" t="s">
        <v>404</v>
      </c>
      <c r="J209" s="8">
        <v>78.8</v>
      </c>
      <c r="K209" s="8">
        <v>2011</v>
      </c>
      <c r="L209" s="11" t="s">
        <v>2555</v>
      </c>
      <c r="M209" s="39" t="s">
        <v>1896</v>
      </c>
      <c r="N209" s="43" t="s">
        <v>675</v>
      </c>
      <c r="O209" s="42" t="s">
        <v>1897</v>
      </c>
    </row>
    <row r="210" spans="1:15" ht="27" customHeight="1">
      <c r="A210" s="5">
        <v>45227</v>
      </c>
      <c r="B210" s="18" t="s">
        <v>15</v>
      </c>
      <c r="C210" s="23" t="s">
        <v>16</v>
      </c>
      <c r="D210" s="7" t="s">
        <v>2550</v>
      </c>
      <c r="E210" s="66" t="s">
        <v>2551</v>
      </c>
      <c r="F210" s="85" t="str">
        <f>HYPERLINK("https://drive.google.com/file/d/1YX26OJLO4FL7-VrNVkaBxE2SCgBLbO9U/view?usp=drivesdk","https://drive.google.com/file/d/1YX26OJLO4FL7-VrNVkaBxE2SCgBLbO9U/view?usp=drivesdk")</f>
        <v>https://drive.google.com/file/d/1YX26OJLO4FL7-VrNVkaBxE2SCgBLbO9U/view?usp=drivesdk</v>
      </c>
      <c r="G210" s="7" t="s">
        <v>2360</v>
      </c>
      <c r="H210" s="95" t="s">
        <v>3203</v>
      </c>
      <c r="I210" s="15" t="s">
        <v>404</v>
      </c>
      <c r="J210" s="8">
        <v>20.5</v>
      </c>
      <c r="K210" s="8">
        <v>215</v>
      </c>
      <c r="L210" s="11" t="s">
        <v>2195</v>
      </c>
      <c r="M210" s="39" t="s">
        <v>22</v>
      </c>
      <c r="N210" s="43" t="s">
        <v>675</v>
      </c>
      <c r="O210" s="42" t="s">
        <v>1584</v>
      </c>
    </row>
    <row r="211" spans="1:15" ht="27" customHeight="1">
      <c r="A211" s="5">
        <v>45221</v>
      </c>
      <c r="B211" s="18" t="s">
        <v>15</v>
      </c>
      <c r="C211" s="23" t="s">
        <v>16</v>
      </c>
      <c r="D211" s="7" t="s">
        <v>2546</v>
      </c>
      <c r="E211" s="66" t="s">
        <v>2547</v>
      </c>
      <c r="F211" s="85" t="str">
        <f>HYPERLINK("https://drive.google.com/file/d/1z5MJl1fB1ModhwtymsCm5HZ4iJMTse5Y/view?usp=drivesdk","https://drive.google.com/file/d/1z5MJl1fB1ModhwtymsCm5HZ4iJMTse5Y/view?usp=drivesdk")</f>
        <v>https://drive.google.com/file/d/1z5MJl1fB1ModhwtymsCm5HZ4iJMTse5Y/view?usp=drivesdk</v>
      </c>
      <c r="G211" s="7" t="s">
        <v>2548</v>
      </c>
      <c r="H211" s="73" t="s">
        <v>3292</v>
      </c>
      <c r="I211" s="15" t="s">
        <v>404</v>
      </c>
      <c r="J211" s="8">
        <v>116.4</v>
      </c>
      <c r="K211" s="8">
        <v>1870</v>
      </c>
      <c r="L211" s="11" t="s">
        <v>2549</v>
      </c>
      <c r="M211" s="39" t="s">
        <v>22</v>
      </c>
      <c r="N211" s="43" t="s">
        <v>675</v>
      </c>
      <c r="O211" s="43" t="s">
        <v>879</v>
      </c>
    </row>
    <row r="212" spans="1:15" ht="27" customHeight="1">
      <c r="A212" s="5">
        <v>45220</v>
      </c>
      <c r="B212" s="19" t="s">
        <v>1678</v>
      </c>
      <c r="C212" s="23" t="s">
        <v>2027</v>
      </c>
      <c r="D212" s="7" t="s">
        <v>2544</v>
      </c>
      <c r="E212" s="66" t="s">
        <v>2545</v>
      </c>
      <c r="F212" s="85" t="str">
        <f>HYPERLINK("https://drive.google.com/file/d/1IbrKZshF1bEzffbRiZwXoqE5bIoF_I95/view?usp=drivesdk","https://drive.google.com/file/d/1IbrKZshF1bEzffbRiZwXoqE5bIoF_I95/view?usp=drivesdk")</f>
        <v>https://drive.google.com/file/d/1IbrKZshF1bEzffbRiZwXoqE5bIoF_I95/view?usp=drivesdk</v>
      </c>
      <c r="G212" s="7" t="s">
        <v>2350</v>
      </c>
      <c r="H212" s="73" t="s">
        <v>3292</v>
      </c>
      <c r="I212" s="10"/>
      <c r="J212" s="8">
        <v>13.8</v>
      </c>
      <c r="K212" s="8">
        <v>272</v>
      </c>
      <c r="L212" s="11" t="s">
        <v>1052</v>
      </c>
      <c r="M212" s="39" t="s">
        <v>265</v>
      </c>
      <c r="N212" s="39" t="s">
        <v>265</v>
      </c>
      <c r="O212" s="39" t="s">
        <v>265</v>
      </c>
    </row>
    <row r="213" spans="1:15" ht="27" customHeight="1">
      <c r="A213" s="5">
        <v>45213</v>
      </c>
      <c r="B213" s="6" t="s">
        <v>246</v>
      </c>
      <c r="C213" s="23" t="s">
        <v>1336</v>
      </c>
      <c r="D213" s="7" t="s">
        <v>2540</v>
      </c>
      <c r="E213" s="66" t="s">
        <v>2541</v>
      </c>
      <c r="F213" s="85" t="str">
        <f>HYPERLINK("https://drive.google.com/file/d/1bSne5PQgH_C37lUuN2FhEL0CzT6E9eqM/view?usp=drivesdk","https://drive.google.com/file/d/1bSne5PQgH_C37lUuN2FhEL0CzT6E9eqM/view?usp=drivesdk")</f>
        <v>https://drive.google.com/file/d/1bSne5PQgH_C37lUuN2FhEL0CzT6E9eqM/view?usp=drivesdk</v>
      </c>
      <c r="G213" s="7" t="s">
        <v>2542</v>
      </c>
      <c r="H213" s="95" t="s">
        <v>3234</v>
      </c>
      <c r="I213" s="10"/>
      <c r="J213" s="8">
        <v>17.100000000000001</v>
      </c>
      <c r="K213" s="8">
        <v>1103</v>
      </c>
      <c r="L213" s="11" t="s">
        <v>2543</v>
      </c>
      <c r="M213" s="39" t="s">
        <v>1896</v>
      </c>
      <c r="N213" s="43" t="s">
        <v>675</v>
      </c>
      <c r="O213" s="42" t="s">
        <v>1897</v>
      </c>
    </row>
    <row r="214" spans="1:15" ht="40.5">
      <c r="A214" s="5">
        <v>45206</v>
      </c>
      <c r="B214" s="19" t="s">
        <v>1678</v>
      </c>
      <c r="C214" s="23" t="s">
        <v>1336</v>
      </c>
      <c r="D214" s="7" t="s">
        <v>2536</v>
      </c>
      <c r="E214" s="66" t="s">
        <v>2537</v>
      </c>
      <c r="F214" s="85" t="str">
        <f>HYPERLINK("https://drive.google.com/file/d/1uTl_bGSX4VEfL52FwZG8emq8sJZXl094/view?usp=drivesdk","https://drive.google.com/file/d/1uTl_bGSX4VEfL52FwZG8emq8sJZXl094/view?usp=drivesdk")</f>
        <v>https://drive.google.com/file/d/1uTl_bGSX4VEfL52FwZG8emq8sJZXl094/view?usp=drivesdk</v>
      </c>
      <c r="G214" s="7" t="s">
        <v>2538</v>
      </c>
      <c r="H214" s="95" t="s">
        <v>3202</v>
      </c>
      <c r="I214" s="10" t="s">
        <v>1886</v>
      </c>
      <c r="J214" s="8">
        <v>19.100000000000001</v>
      </c>
      <c r="K214" s="8">
        <v>1577</v>
      </c>
      <c r="L214" s="11" t="s">
        <v>2539</v>
      </c>
      <c r="M214" s="39" t="s">
        <v>265</v>
      </c>
      <c r="N214" s="39" t="s">
        <v>265</v>
      </c>
      <c r="O214" s="39" t="s">
        <v>265</v>
      </c>
    </row>
    <row r="215" spans="1:15" ht="27" customHeight="1">
      <c r="A215" s="5">
        <v>45192</v>
      </c>
      <c r="B215" s="18" t="s">
        <v>15</v>
      </c>
      <c r="C215" s="23" t="s">
        <v>16</v>
      </c>
      <c r="D215" s="7" t="s">
        <v>2533</v>
      </c>
      <c r="E215" s="66" t="s">
        <v>2534</v>
      </c>
      <c r="F215" s="85" t="str">
        <f>HYPERLINK("https://drive.google.com/file/d/1grueyK_Narw_xPeN117tgPmB1Y34s70v/view?usp=drivesdk","https://drive.google.com/file/d/1grueyK_Narw_xPeN117tgPmB1Y34s70v/view?usp=drivesdk")</f>
        <v>https://drive.google.com/file/d/1grueyK_Narw_xPeN117tgPmB1Y34s70v/view?usp=drivesdk</v>
      </c>
      <c r="G215" s="7" t="s">
        <v>2321</v>
      </c>
      <c r="H215" s="95" t="s">
        <v>3267</v>
      </c>
      <c r="I215" s="10"/>
      <c r="J215" s="8">
        <v>335.2</v>
      </c>
      <c r="K215" s="8">
        <v>2664</v>
      </c>
      <c r="L215" s="11" t="s">
        <v>2535</v>
      </c>
      <c r="M215" s="39" t="s">
        <v>22</v>
      </c>
      <c r="N215" s="43" t="s">
        <v>675</v>
      </c>
      <c r="O215" s="43" t="s">
        <v>1584</v>
      </c>
    </row>
    <row r="216" spans="1:15" ht="27">
      <c r="A216" s="5">
        <v>45151</v>
      </c>
      <c r="B216" s="19" t="s">
        <v>1678</v>
      </c>
      <c r="C216" s="23" t="s">
        <v>1336</v>
      </c>
      <c r="D216" s="7" t="s">
        <v>2529</v>
      </c>
      <c r="E216" s="66" t="s">
        <v>2530</v>
      </c>
      <c r="F216" s="85" t="str">
        <f>HYPERLINK("https://drive.google.com/file/d/1-m0dvKIOat-D7qGN3aK9tcwLihe_qBKt/view?usp=drivesdk","https://drive.google.com/file/d/1-m0dvKIOat-D7qGN3aK9tcwLihe_qBKt/view?usp=drivesdk")</f>
        <v>https://drive.google.com/file/d/1-m0dvKIOat-D7qGN3aK9tcwLihe_qBKt/view?usp=drivesdk</v>
      </c>
      <c r="G216" s="7" t="s">
        <v>2531</v>
      </c>
      <c r="H216" s="95" t="s">
        <v>3202</v>
      </c>
      <c r="I216" s="10" t="s">
        <v>1886</v>
      </c>
      <c r="J216" s="8">
        <v>8.5</v>
      </c>
      <c r="K216" s="8">
        <v>385</v>
      </c>
      <c r="L216" s="11" t="s">
        <v>2532</v>
      </c>
      <c r="M216" s="39" t="s">
        <v>265</v>
      </c>
      <c r="N216" s="39" t="s">
        <v>265</v>
      </c>
      <c r="O216" s="39" t="s">
        <v>265</v>
      </c>
    </row>
    <row r="217" spans="1:15" ht="27" customHeight="1">
      <c r="A217" s="5">
        <v>45150</v>
      </c>
      <c r="B217" s="19" t="s">
        <v>1678</v>
      </c>
      <c r="C217" s="23" t="s">
        <v>1336</v>
      </c>
      <c r="D217" s="7" t="s">
        <v>2525</v>
      </c>
      <c r="E217" s="66" t="s">
        <v>2526</v>
      </c>
      <c r="F217" s="85" t="str">
        <f>HYPERLINK("https://drive.google.com/file/d/1wfFpl0hdrFfnql_1ETCIsYjP5JB0oUZp/view?usp=drivesdk","https://drive.google.com/file/d/1wfFpl0hdrFfnql_1ETCIsYjP5JB0oUZp/view?usp=drivesdk")</f>
        <v>https://drive.google.com/file/d/1wfFpl0hdrFfnql_1ETCIsYjP5JB0oUZp/view?usp=drivesdk</v>
      </c>
      <c r="G217" s="7" t="s">
        <v>2527</v>
      </c>
      <c r="H217" s="95" t="s">
        <v>3202</v>
      </c>
      <c r="I217" s="10" t="s">
        <v>1886</v>
      </c>
      <c r="J217" s="8">
        <v>12.1</v>
      </c>
      <c r="K217" s="8">
        <v>1189</v>
      </c>
      <c r="L217" s="11" t="s">
        <v>2528</v>
      </c>
      <c r="M217" s="39" t="s">
        <v>265</v>
      </c>
      <c r="N217" s="39" t="s">
        <v>265</v>
      </c>
      <c r="O217" s="39" t="s">
        <v>265</v>
      </c>
    </row>
    <row r="218" spans="1:15" ht="27">
      <c r="A218" s="5">
        <v>45149</v>
      </c>
      <c r="B218" s="19" t="s">
        <v>1678</v>
      </c>
      <c r="C218" s="23" t="s">
        <v>1336</v>
      </c>
      <c r="D218" s="7" t="s">
        <v>2522</v>
      </c>
      <c r="E218" s="66" t="s">
        <v>2523</v>
      </c>
      <c r="F218" s="85" t="str">
        <f>HYPERLINK("https://drive.google.com/file/d/1ev69lOZSxOQkEIQMRJbC2HvDTiQYISqq/view?usp=drivesdk","https://drive.google.com/file/d/1ev69lOZSxOQkEIQMRJbC2HvDTiQYISqq/view?usp=drivesdk")</f>
        <v>https://drive.google.com/file/d/1ev69lOZSxOQkEIQMRJbC2HvDTiQYISqq/view?usp=drivesdk</v>
      </c>
      <c r="G218" s="7" t="s">
        <v>3259</v>
      </c>
      <c r="H218" s="95" t="s">
        <v>3202</v>
      </c>
      <c r="I218" s="10" t="s">
        <v>1886</v>
      </c>
      <c r="J218" s="8">
        <v>6</v>
      </c>
      <c r="K218" s="8">
        <v>1266</v>
      </c>
      <c r="L218" s="11" t="s">
        <v>2524</v>
      </c>
      <c r="M218" s="39" t="s">
        <v>265</v>
      </c>
      <c r="N218" s="39" t="s">
        <v>265</v>
      </c>
      <c r="O218" s="39" t="s">
        <v>265</v>
      </c>
    </row>
    <row r="219" spans="1:15">
      <c r="A219" s="5">
        <v>45144</v>
      </c>
      <c r="B219" s="18" t="s">
        <v>15</v>
      </c>
      <c r="C219" s="23" t="s">
        <v>16</v>
      </c>
      <c r="D219" s="7" t="s">
        <v>753</v>
      </c>
      <c r="E219" s="66" t="s">
        <v>2520</v>
      </c>
      <c r="F219" s="85" t="str">
        <f>HYPERLINK("https://drive.google.com/file/d/1BGM_BfFkAMZwT2lzg45ZC3ToqT6bJQEH/view?usp=drivesdk","https://drive.google.com/file/d/1BGM_BfFkAMZwT2lzg45ZC3ToqT6bJQEH/view?usp=drivesdk")</f>
        <v>https://drive.google.com/file/d/1BGM_BfFkAMZwT2lzg45ZC3ToqT6bJQEH/view?usp=drivesdk</v>
      </c>
      <c r="G219" s="7" t="s">
        <v>755</v>
      </c>
      <c r="H219" s="95" t="s">
        <v>3224</v>
      </c>
      <c r="I219" s="10"/>
      <c r="J219" s="8">
        <v>36.6</v>
      </c>
      <c r="K219" s="8">
        <v>1024</v>
      </c>
      <c r="L219" s="11" t="s">
        <v>2521</v>
      </c>
      <c r="M219" s="39" t="s">
        <v>22</v>
      </c>
      <c r="N219" s="43" t="s">
        <v>675</v>
      </c>
      <c r="O219" s="42" t="s">
        <v>879</v>
      </c>
    </row>
    <row r="220" spans="1:15" ht="28.5" customHeight="1">
      <c r="A220" s="5">
        <v>45143</v>
      </c>
      <c r="B220" s="19" t="s">
        <v>1678</v>
      </c>
      <c r="C220" s="23" t="s">
        <v>1336</v>
      </c>
      <c r="D220" s="7" t="s">
        <v>2516</v>
      </c>
      <c r="E220" s="66" t="s">
        <v>2517</v>
      </c>
      <c r="F220" s="85" t="str">
        <f>HYPERLINK("https://drive.google.com/file/d/1wz2VEQHsa76evgKkJ4SQqcKhs5F-05NP/view?usp=drivesdk","https://drive.google.com/file/d/1wz2VEQHsa76evgKkJ4SQqcKhs5F-05NP/view?usp=drivesdk")</f>
        <v>https://drive.google.com/file/d/1wz2VEQHsa76evgKkJ4SQqcKhs5F-05NP/view?usp=drivesdk</v>
      </c>
      <c r="G220" s="7" t="s">
        <v>2518</v>
      </c>
      <c r="H220" s="73" t="s">
        <v>3205</v>
      </c>
      <c r="I220" s="10"/>
      <c r="J220" s="8">
        <v>15</v>
      </c>
      <c r="K220" s="8">
        <v>1305</v>
      </c>
      <c r="L220" s="11" t="s">
        <v>2519</v>
      </c>
      <c r="M220" s="39" t="s">
        <v>265</v>
      </c>
      <c r="N220" s="39" t="s">
        <v>265</v>
      </c>
      <c r="O220" s="39" t="s">
        <v>265</v>
      </c>
    </row>
    <row r="221" spans="1:15">
      <c r="A221" s="5">
        <v>45137</v>
      </c>
      <c r="B221" s="18" t="s">
        <v>15</v>
      </c>
      <c r="C221" s="23" t="s">
        <v>16</v>
      </c>
      <c r="D221" s="7" t="s">
        <v>218</v>
      </c>
      <c r="E221" s="66" t="s">
        <v>2514</v>
      </c>
      <c r="F221" s="85" t="str">
        <f>HYPERLINK("https://drive.google.com/file/d/1NwEXa84o4JNti3KK3QXrkSXG0xOF0XR8/view?usp=drivesdk","https://drive.google.com/file/d/1NwEXa84o4JNti3KK3QXrkSXG0xOF0XR8/view?usp=drivesdk")</f>
        <v>https://drive.google.com/file/d/1NwEXa84o4JNti3KK3QXrkSXG0xOF0XR8/view?usp=drivesdk</v>
      </c>
      <c r="G221" s="7" t="s">
        <v>218</v>
      </c>
      <c r="H221" s="95" t="s">
        <v>3198</v>
      </c>
      <c r="I221" s="10"/>
      <c r="J221" s="8">
        <v>90.8</v>
      </c>
      <c r="K221" s="8">
        <v>621</v>
      </c>
      <c r="L221" s="11" t="s">
        <v>2515</v>
      </c>
      <c r="M221" s="39" t="s">
        <v>22</v>
      </c>
      <c r="N221" s="43" t="s">
        <v>675</v>
      </c>
      <c r="O221" s="42" t="s">
        <v>879</v>
      </c>
    </row>
    <row r="222" spans="1:15" ht="40.5">
      <c r="A222" s="5">
        <v>45129</v>
      </c>
      <c r="B222" s="19" t="s">
        <v>1678</v>
      </c>
      <c r="C222" s="23" t="s">
        <v>1336</v>
      </c>
      <c r="D222" s="7" t="s">
        <v>2511</v>
      </c>
      <c r="E222" s="66" t="s">
        <v>2512</v>
      </c>
      <c r="F222" s="85" t="str">
        <f>HYPERLINK("https://drive.google.com/file/d/1tID8Exf7tUtRppinSlVMqM6sdBVShLzn/view?usp=drivesdk","https://drive.google.com/file/d/1tID8Exf7tUtRppinSlVMqM6sdBVShLzn/view?usp=drivesdk")</f>
        <v>https://drive.google.com/file/d/1tID8Exf7tUtRppinSlVMqM6sdBVShLzn/view?usp=drivesdk</v>
      </c>
      <c r="G222" s="7" t="s">
        <v>2513</v>
      </c>
      <c r="H222" s="95" t="s">
        <v>3261</v>
      </c>
      <c r="I222" s="10" t="s">
        <v>1886</v>
      </c>
      <c r="J222" s="8">
        <v>15.4</v>
      </c>
      <c r="K222" s="8">
        <v>629</v>
      </c>
      <c r="L222" s="11" t="s">
        <v>2475</v>
      </c>
      <c r="M222" s="39" t="s">
        <v>265</v>
      </c>
      <c r="N222" s="39" t="s">
        <v>265</v>
      </c>
      <c r="O222" s="39" t="s">
        <v>265</v>
      </c>
    </row>
    <row r="223" spans="1:15" ht="40.5">
      <c r="A223" s="5">
        <v>45128</v>
      </c>
      <c r="B223" s="19" t="s">
        <v>1678</v>
      </c>
      <c r="C223" s="23" t="s">
        <v>1336</v>
      </c>
      <c r="D223" s="7" t="s">
        <v>2509</v>
      </c>
      <c r="E223" s="66" t="s">
        <v>2510</v>
      </c>
      <c r="F223" s="85" t="str">
        <f>HYPERLINK("https://drive.google.com/file/d/1ijlYZyrpteQGqB8two096QoukOQv0OCN/view?usp=drivesdk","https://drive.google.com/file/d/1ijlYZyrpteQGqB8two096QoukOQv0OCN/view?usp=drivesdk")</f>
        <v>https://drive.google.com/file/d/1ijlYZyrpteQGqB8two096QoukOQv0OCN/view?usp=drivesdk</v>
      </c>
      <c r="G223" s="7" t="s">
        <v>3258</v>
      </c>
      <c r="H223" s="95" t="s">
        <v>3257</v>
      </c>
      <c r="I223" s="10" t="s">
        <v>1886</v>
      </c>
      <c r="J223" s="8">
        <v>9.3000000000000007</v>
      </c>
      <c r="K223" s="8">
        <v>1244</v>
      </c>
      <c r="L223" s="11" t="s">
        <v>2080</v>
      </c>
      <c r="M223" s="39" t="s">
        <v>265</v>
      </c>
      <c r="N223" s="39" t="s">
        <v>265</v>
      </c>
      <c r="O223" s="39" t="s">
        <v>265</v>
      </c>
    </row>
    <row r="224" spans="1:15" ht="40.5">
      <c r="A224" s="5">
        <v>45127</v>
      </c>
      <c r="B224" s="19" t="s">
        <v>1678</v>
      </c>
      <c r="C224" s="23" t="s">
        <v>1336</v>
      </c>
      <c r="D224" s="7" t="s">
        <v>2505</v>
      </c>
      <c r="E224" s="66" t="s">
        <v>2506</v>
      </c>
      <c r="F224" s="85" t="str">
        <f>HYPERLINK("https://drive.google.com/file/d/1Ljah4xRnww55ti6Kx8stA8kgnbWBsbUW/view?usp=drivesdk","https://drive.google.com/file/d/1Ljah4xRnww55ti6Kx8stA8kgnbWBsbUW/view?usp=drivesdk")</f>
        <v>https://drive.google.com/file/d/1Ljah4xRnww55ti6Kx8stA8kgnbWBsbUW/view?usp=drivesdk</v>
      </c>
      <c r="G224" s="7" t="s">
        <v>2507</v>
      </c>
      <c r="H224" s="95" t="s">
        <v>3257</v>
      </c>
      <c r="I224" s="10" t="s">
        <v>1886</v>
      </c>
      <c r="J224" s="8">
        <v>10.8</v>
      </c>
      <c r="K224" s="8">
        <v>1123</v>
      </c>
      <c r="L224" s="11" t="s">
        <v>2508</v>
      </c>
      <c r="M224" s="39" t="s">
        <v>265</v>
      </c>
      <c r="N224" s="39" t="s">
        <v>265</v>
      </c>
      <c r="O224" s="38" t="s">
        <v>265</v>
      </c>
    </row>
    <row r="225" spans="1:15" ht="27">
      <c r="A225" s="5">
        <v>45124</v>
      </c>
      <c r="B225" s="6" t="s">
        <v>246</v>
      </c>
      <c r="C225" s="23" t="s">
        <v>1336</v>
      </c>
      <c r="D225" s="7" t="s">
        <v>2502</v>
      </c>
      <c r="E225" s="66" t="s">
        <v>2503</v>
      </c>
      <c r="F225" s="85" t="str">
        <f>HYPERLINK("https://drive.google.com/file/d/1RVNnKiM3osyjCkUNVf8dUXW-Cz1OnEaq/view?usp=drivesdk","https://drive.google.com/file/d/1RVNnKiM3osyjCkUNVf8dUXW-Cz1OnEaq/view?usp=drivesdk")</f>
        <v>https://drive.google.com/file/d/1RVNnKiM3osyjCkUNVf8dUXW-Cz1OnEaq/view?usp=drivesdk</v>
      </c>
      <c r="G225" s="7" t="s">
        <v>2504</v>
      </c>
      <c r="H225" s="95" t="s">
        <v>3202</v>
      </c>
      <c r="I225" s="10" t="s">
        <v>1886</v>
      </c>
      <c r="J225" s="8">
        <v>22.6</v>
      </c>
      <c r="K225" s="8">
        <v>499</v>
      </c>
      <c r="L225" s="11" t="s">
        <v>1071</v>
      </c>
      <c r="M225" s="39" t="s">
        <v>330</v>
      </c>
      <c r="N225" s="43" t="s">
        <v>331</v>
      </c>
      <c r="O225" s="42" t="s">
        <v>332</v>
      </c>
    </row>
    <row r="226" spans="1:15" ht="27">
      <c r="A226" s="5">
        <v>45110</v>
      </c>
      <c r="B226" s="19" t="s">
        <v>1678</v>
      </c>
      <c r="C226" s="23" t="s">
        <v>1336</v>
      </c>
      <c r="D226" s="7" t="s">
        <v>2499</v>
      </c>
      <c r="E226" s="103" t="s">
        <v>2500</v>
      </c>
      <c r="F226" s="85" t="str">
        <f>HYPERLINK("https://drive.google.com/file/d/10eRTdDy_09m3i9WNorf05Jox0TnAfC7w/view?usp=drivesdk","https://drive.google.com/file/d/10eRTdDy_09m3i9WNorf05Jox0TnAfC7w/view?usp=drivesdk")</f>
        <v>https://drive.google.com/file/d/10eRTdDy_09m3i9WNorf05Jox0TnAfC7w/view?usp=drivesdk</v>
      </c>
      <c r="G226" s="7" t="s">
        <v>2264</v>
      </c>
      <c r="H226" s="95" t="s">
        <v>3202</v>
      </c>
      <c r="I226" s="10" t="s">
        <v>1886</v>
      </c>
      <c r="J226" s="8">
        <v>10.5</v>
      </c>
      <c r="K226" s="8">
        <v>663</v>
      </c>
      <c r="L226" s="11" t="s">
        <v>2501</v>
      </c>
      <c r="M226" s="39" t="s">
        <v>265</v>
      </c>
      <c r="N226" s="39" t="s">
        <v>265</v>
      </c>
      <c r="O226" s="38" t="s">
        <v>265</v>
      </c>
    </row>
    <row r="227" spans="1:15" ht="27" customHeight="1">
      <c r="A227" s="5">
        <v>45109</v>
      </c>
      <c r="B227" s="19" t="s">
        <v>1678</v>
      </c>
      <c r="C227" s="23" t="s">
        <v>1336</v>
      </c>
      <c r="D227" s="7" t="s">
        <v>2495</v>
      </c>
      <c r="E227" s="103" t="s">
        <v>2496</v>
      </c>
      <c r="F227" s="85" t="str">
        <f>HYPERLINK("https://drive.google.com/file/d/1S8wCOBnrB8WHqvbBJcZWVDF5l8wIIOJy/view?usp=drivesdk","https://drive.google.com/file/d/1S8wCOBnrB8WHqvbBJcZWVDF5l8wIIOJy/view?usp=drivesdk")</f>
        <v>https://drive.google.com/file/d/1S8wCOBnrB8WHqvbBJcZWVDF5l8wIIOJy/view?usp=drivesdk</v>
      </c>
      <c r="G227" s="7" t="s">
        <v>2497</v>
      </c>
      <c r="H227" s="95" t="s">
        <v>3202</v>
      </c>
      <c r="I227" s="10" t="s">
        <v>1886</v>
      </c>
      <c r="J227" s="8">
        <v>7</v>
      </c>
      <c r="K227" s="8">
        <v>1468</v>
      </c>
      <c r="L227" s="11" t="s">
        <v>2498</v>
      </c>
      <c r="M227" s="39" t="s">
        <v>265</v>
      </c>
      <c r="N227" s="39" t="s">
        <v>265</v>
      </c>
      <c r="O227" s="38" t="s">
        <v>265</v>
      </c>
    </row>
    <row r="228" spans="1:15" ht="27">
      <c r="A228" s="5">
        <v>45101</v>
      </c>
      <c r="B228" s="18" t="s">
        <v>15</v>
      </c>
      <c r="C228" s="23" t="s">
        <v>16</v>
      </c>
      <c r="D228" s="7" t="s">
        <v>1393</v>
      </c>
      <c r="E228" s="66" t="s">
        <v>2493</v>
      </c>
      <c r="F228" s="85" t="str">
        <f>HYPERLINK("https://drive.google.com/file/d/1wbr_-lTWzuovlot5wzL3bfIZZ9ivnWRl/view?usp=drivesdk","https://drive.google.com/file/d/1wbr_-lTWzuovlot5wzL3bfIZZ9ivnWRl/view?usp=drivesdk")</f>
        <v>https://drive.google.com/file/d/1wbr_-lTWzuovlot5wzL3bfIZZ9ivnWRl/view?usp=drivesdk</v>
      </c>
      <c r="G228" s="7" t="s">
        <v>2494</v>
      </c>
      <c r="H228" s="95" t="s">
        <v>3245</v>
      </c>
      <c r="I228" s="10"/>
      <c r="J228" s="8">
        <v>71.5</v>
      </c>
      <c r="K228" s="8">
        <v>62</v>
      </c>
      <c r="L228" s="11" t="s">
        <v>1174</v>
      </c>
      <c r="M228" s="39" t="s">
        <v>102</v>
      </c>
      <c r="N228" s="43" t="s">
        <v>194</v>
      </c>
      <c r="O228" s="42" t="s">
        <v>195</v>
      </c>
    </row>
    <row r="229" spans="1:15" ht="27" customHeight="1">
      <c r="A229" s="5">
        <v>45095</v>
      </c>
      <c r="B229" s="18" t="s">
        <v>15</v>
      </c>
      <c r="C229" s="23" t="s">
        <v>16</v>
      </c>
      <c r="D229" s="7" t="s">
        <v>2490</v>
      </c>
      <c r="E229" s="103" t="s">
        <v>2491</v>
      </c>
      <c r="F229" s="85" t="str">
        <f>HYPERLINK("https://drive.google.com/file/d/1e6YWRz4gV8rHCRoVYm1U8qNVCbNaNVkq/view?usp=drivesdk","https://drive.google.com/file/d/1e6YWRz4gV8rHCRoVYm1U8qNVCbNaNVkq/view?usp=drivesdk")</f>
        <v>https://drive.google.com/file/d/1e6YWRz4gV8rHCRoVYm1U8qNVCbNaNVkq/view?usp=drivesdk</v>
      </c>
      <c r="G229" s="7" t="s">
        <v>2492</v>
      </c>
      <c r="H229" s="95" t="s">
        <v>3202</v>
      </c>
      <c r="I229" s="82" t="s">
        <v>89</v>
      </c>
      <c r="J229" s="8">
        <v>58.7</v>
      </c>
      <c r="K229" s="8">
        <v>1565</v>
      </c>
      <c r="L229" s="11" t="s">
        <v>2043</v>
      </c>
      <c r="M229" s="39" t="s">
        <v>22</v>
      </c>
      <c r="N229" s="43" t="s">
        <v>675</v>
      </c>
      <c r="O229" s="42" t="s">
        <v>1584</v>
      </c>
    </row>
    <row r="230" spans="1:15">
      <c r="A230" s="5">
        <v>45094</v>
      </c>
      <c r="B230" s="19" t="s">
        <v>1678</v>
      </c>
      <c r="C230" s="23" t="s">
        <v>1336</v>
      </c>
      <c r="D230" s="7" t="s">
        <v>2486</v>
      </c>
      <c r="E230" s="66" t="s">
        <v>2487</v>
      </c>
      <c r="F230" s="85" t="str">
        <f>HYPERLINK("https://drive.google.com/file/d/1fNtqGbaORD3BtFcZUFPEfdUOjKf4geSS/view?usp=drivesdk","https://drive.google.com/file/d/1fNtqGbaORD3BtFcZUFPEfdUOjKf4geSS/view?usp=drivesdk")</f>
        <v>https://drive.google.com/file/d/1fNtqGbaORD3BtFcZUFPEfdUOjKf4geSS/view?usp=drivesdk</v>
      </c>
      <c r="G230" s="7" t="s">
        <v>2488</v>
      </c>
      <c r="H230" s="95" t="s">
        <v>3202</v>
      </c>
      <c r="I230" s="10" t="s">
        <v>1939</v>
      </c>
      <c r="J230" s="8">
        <v>8.8000000000000007</v>
      </c>
      <c r="K230" s="8">
        <v>1127</v>
      </c>
      <c r="L230" s="11" t="s">
        <v>2489</v>
      </c>
      <c r="M230" s="39" t="s">
        <v>265</v>
      </c>
      <c r="N230" s="39" t="s">
        <v>265</v>
      </c>
      <c r="O230" s="38" t="s">
        <v>265</v>
      </c>
    </row>
    <row r="231" spans="1:15" ht="27" customHeight="1">
      <c r="A231" s="5">
        <v>45087</v>
      </c>
      <c r="B231" s="20" t="s">
        <v>1632</v>
      </c>
      <c r="C231" s="23" t="s">
        <v>1633</v>
      </c>
      <c r="D231" s="7" t="s">
        <v>2483</v>
      </c>
      <c r="E231" s="103" t="s">
        <v>2484</v>
      </c>
      <c r="F231" s="85" t="str">
        <f>HYPERLINK("https://drive.google.com/file/d/1Tu428oeiPJYQ8V17JJAxPjB_tDZR1bUD/view?usp=drivesdk","https://drive.google.com/file/d/1Tu428oeiPJYQ8V17JJAxPjB_tDZR1bUD/view?usp=drivesdk")</f>
        <v>https://drive.google.com/file/d/1Tu428oeiPJYQ8V17JJAxPjB_tDZR1bUD/view?usp=drivesdk</v>
      </c>
      <c r="G231" s="7" t="s">
        <v>2382</v>
      </c>
      <c r="H231" s="73" t="s">
        <v>3213</v>
      </c>
      <c r="I231" s="10"/>
      <c r="J231" s="8">
        <v>2.2000000000000002</v>
      </c>
      <c r="K231" s="8">
        <v>15</v>
      </c>
      <c r="L231" s="11" t="s">
        <v>2485</v>
      </c>
      <c r="M231" s="39" t="s">
        <v>265</v>
      </c>
      <c r="N231" s="39" t="s">
        <v>265</v>
      </c>
      <c r="O231" s="38" t="s">
        <v>265</v>
      </c>
    </row>
    <row r="232" spans="1:15" ht="18.75" customHeight="1">
      <c r="A232" s="5">
        <v>45083</v>
      </c>
      <c r="B232" s="18" t="s">
        <v>15</v>
      </c>
      <c r="C232" s="23" t="s">
        <v>16</v>
      </c>
      <c r="D232" s="7" t="s">
        <v>2480</v>
      </c>
      <c r="E232" s="103" t="s">
        <v>2481</v>
      </c>
      <c r="F232" s="85" t="str">
        <f>HYPERLINK("https://drive.google.com/file/d/1Gc5d77AtxUPaoJpXY4VRBuEyXrK-FABO/view?usp=drivesdk","https://drive.google.com/file/d/1Gc5d77AtxUPaoJpXY4VRBuEyXrK-FABO/view?usp=drivesdk")</f>
        <v>https://drive.google.com/file/d/1Gc5d77AtxUPaoJpXY4VRBuEyXrK-FABO/view?usp=drivesdk</v>
      </c>
      <c r="G232" s="7" t="s">
        <v>668</v>
      </c>
      <c r="H232" s="95" t="s">
        <v>3193</v>
      </c>
      <c r="I232" s="10"/>
      <c r="J232" s="8">
        <v>22.7</v>
      </c>
      <c r="K232" s="8">
        <v>331</v>
      </c>
      <c r="L232" s="11" t="s">
        <v>2482</v>
      </c>
      <c r="M232" s="39" t="s">
        <v>102</v>
      </c>
      <c r="N232" s="43" t="s">
        <v>194</v>
      </c>
      <c r="O232" s="42" t="s">
        <v>195</v>
      </c>
    </row>
    <row r="233" spans="1:15">
      <c r="A233" s="5">
        <v>45080</v>
      </c>
      <c r="B233" s="19" t="s">
        <v>1678</v>
      </c>
      <c r="C233" s="23" t="s">
        <v>1336</v>
      </c>
      <c r="D233" s="7" t="s">
        <v>2476</v>
      </c>
      <c r="E233" s="103" t="s">
        <v>2477</v>
      </c>
      <c r="F233" s="85" t="str">
        <f>HYPERLINK("https://drive.google.com/file/d/1ETJ-Z2L8bZWkTFkeauB9v28Ma6yoGq1i/view?usp=drivesdk","https://drive.google.com/file/d/1ETJ-Z2L8bZWkTFkeauB9v28Ma6yoGq1i/view?usp=drivesdk")</f>
        <v>https://drive.google.com/file/d/1ETJ-Z2L8bZWkTFkeauB9v28Ma6yoGq1i/view?usp=drivesdk</v>
      </c>
      <c r="G233" s="7" t="s">
        <v>2478</v>
      </c>
      <c r="H233" s="95" t="s">
        <v>3202</v>
      </c>
      <c r="I233" s="10" t="s">
        <v>1886</v>
      </c>
      <c r="J233" s="8">
        <v>14.5</v>
      </c>
      <c r="K233" s="8">
        <v>1651</v>
      </c>
      <c r="L233" s="11" t="s">
        <v>2479</v>
      </c>
      <c r="M233" s="39" t="s">
        <v>265</v>
      </c>
      <c r="N233" s="39" t="s">
        <v>265</v>
      </c>
      <c r="O233" s="38" t="s">
        <v>265</v>
      </c>
    </row>
    <row r="234" spans="1:15" ht="40.5" customHeight="1">
      <c r="A234" s="5">
        <v>45073</v>
      </c>
      <c r="B234" s="57" t="s">
        <v>1678</v>
      </c>
      <c r="C234" s="23" t="s">
        <v>1336</v>
      </c>
      <c r="D234" s="7" t="s">
        <v>2472</v>
      </c>
      <c r="E234" s="103" t="s">
        <v>2473</v>
      </c>
      <c r="F234" s="85" t="str">
        <f>HYPERLINK("https://drive.google.com/file/d/1S2QUbsKTar8HV5FA1Vg13CmpMwpru94f/view?usp=drivesdk","https://drive.google.com/file/d/1S2QUbsKTar8HV5FA1Vg13CmpMwpru94f/view?usp=drivesdk")</f>
        <v>https://drive.google.com/file/d/1S2QUbsKTar8HV5FA1Vg13CmpMwpru94f/view?usp=drivesdk</v>
      </c>
      <c r="G234" s="7" t="s">
        <v>2474</v>
      </c>
      <c r="H234" s="95" t="s">
        <v>3202</v>
      </c>
      <c r="I234" s="10" t="s">
        <v>89</v>
      </c>
      <c r="J234" s="8">
        <v>20.5</v>
      </c>
      <c r="K234" s="8">
        <v>1629</v>
      </c>
      <c r="L234" s="11" t="s">
        <v>2475</v>
      </c>
      <c r="M234" s="39" t="s">
        <v>265</v>
      </c>
      <c r="N234" s="39" t="s">
        <v>265</v>
      </c>
      <c r="O234" s="38" t="s">
        <v>265</v>
      </c>
    </row>
    <row r="235" spans="1:15" ht="18.75" customHeight="1">
      <c r="A235" s="5">
        <v>45067</v>
      </c>
      <c r="B235" s="6" t="s">
        <v>246</v>
      </c>
      <c r="C235" s="23" t="s">
        <v>1336</v>
      </c>
      <c r="D235" s="7" t="s">
        <v>2469</v>
      </c>
      <c r="E235" s="103" t="s">
        <v>2470</v>
      </c>
      <c r="F235" s="85" t="str">
        <f>HYPERLINK("https://drive.google.com/file/d/1_7EH-l52CAgHcFJjYIu6faS6dKuN3Wt1/view?usp=drivesdk","https://drive.google.com/file/d/1_7EH-l52CAgHcFJjYIu6faS6dKuN3Wt1/view?usp=drivesdk")</f>
        <v>https://drive.google.com/file/d/1_7EH-l52CAgHcFJjYIu6faS6dKuN3Wt1/view?usp=drivesdk</v>
      </c>
      <c r="G235" s="7" t="s">
        <v>2237</v>
      </c>
      <c r="H235" s="95" t="s">
        <v>3203</v>
      </c>
      <c r="I235" s="23" t="s">
        <v>244</v>
      </c>
      <c r="J235" s="8">
        <v>8.4</v>
      </c>
      <c r="K235" s="8">
        <v>569</v>
      </c>
      <c r="L235" s="11" t="s">
        <v>2471</v>
      </c>
      <c r="M235" s="39" t="s">
        <v>1896</v>
      </c>
      <c r="N235" s="43" t="s">
        <v>675</v>
      </c>
      <c r="O235" s="42" t="s">
        <v>1897</v>
      </c>
    </row>
    <row r="236" spans="1:15">
      <c r="A236" s="5">
        <v>45063</v>
      </c>
      <c r="B236" s="57" t="s">
        <v>1678</v>
      </c>
      <c r="C236" s="23" t="s">
        <v>1336</v>
      </c>
      <c r="D236" s="7" t="s">
        <v>2466</v>
      </c>
      <c r="E236" s="66" t="s">
        <v>2467</v>
      </c>
      <c r="F236" s="85" t="str">
        <f>HYPERLINK("https://drive.google.com/file/d/1dxcY9XvZwAUwrIVCDb0bVwqEzQEuaXXN/view?usp=drivesdk","https://drive.google.com/file/d/1dxcY9XvZwAUwrIVCDb0bVwqEzQEuaXXN/view?usp=drivesdk")</f>
        <v>https://drive.google.com/file/d/1dxcY9XvZwAUwrIVCDb0bVwqEzQEuaXXN/view?usp=drivesdk</v>
      </c>
      <c r="G236" s="7" t="s">
        <v>2468</v>
      </c>
      <c r="H236" s="95" t="s">
        <v>3292</v>
      </c>
      <c r="I236" s="10"/>
      <c r="J236" s="8">
        <v>17.2</v>
      </c>
      <c r="K236" s="8">
        <v>1768</v>
      </c>
      <c r="L236" s="11" t="s">
        <v>1058</v>
      </c>
      <c r="M236" s="39" t="s">
        <v>265</v>
      </c>
      <c r="N236" s="39" t="s">
        <v>265</v>
      </c>
      <c r="O236" s="39" t="s">
        <v>265</v>
      </c>
    </row>
    <row r="237" spans="1:15" ht="18.75" customHeight="1">
      <c r="A237" s="5">
        <v>45051</v>
      </c>
      <c r="B237" s="6" t="s">
        <v>246</v>
      </c>
      <c r="C237" s="23" t="s">
        <v>1336</v>
      </c>
      <c r="D237" s="7" t="s">
        <v>2462</v>
      </c>
      <c r="E237" s="103" t="s">
        <v>2463</v>
      </c>
      <c r="F237" s="85" t="str">
        <f>HYPERLINK("https://drive.google.com/file/d/1et8m_a0rIfsCtUM752TU18hl0FaqwX2b/view?usp=drivesdk","https://drive.google.com/file/d/1et8m_a0rIfsCtUM752TU18hl0FaqwX2b/view?usp=drivesdk")</f>
        <v>https://drive.google.com/file/d/1et8m_a0rIfsCtUM752TU18hl0FaqwX2b/view?usp=drivesdk</v>
      </c>
      <c r="G237" s="7" t="s">
        <v>2464</v>
      </c>
      <c r="H237" s="95" t="s">
        <v>3202</v>
      </c>
      <c r="I237" s="10"/>
      <c r="J237" s="8">
        <v>2.4</v>
      </c>
      <c r="K237" s="8">
        <v>223</v>
      </c>
      <c r="L237" s="11" t="s">
        <v>2465</v>
      </c>
      <c r="M237" s="39" t="s">
        <v>1896</v>
      </c>
      <c r="N237" s="43" t="s">
        <v>675</v>
      </c>
      <c r="O237" s="42" t="s">
        <v>1897</v>
      </c>
    </row>
    <row r="238" spans="1:15" ht="18.75" customHeight="1">
      <c r="A238" s="5">
        <v>45050</v>
      </c>
      <c r="B238" s="19" t="s">
        <v>1678</v>
      </c>
      <c r="C238" s="23" t="s">
        <v>1336</v>
      </c>
      <c r="D238" s="7" t="s">
        <v>2459</v>
      </c>
      <c r="E238" s="103" t="s">
        <v>2460</v>
      </c>
      <c r="F238" s="85" t="str">
        <f>HYPERLINK("https://drive.google.com/file/d/1ymiKx_sXHBnL0cdeRghR4KD8EYU0NChh/view?usp=drivesdk","https://drive.google.com/file/d/1ymiKx_sXHBnL0cdeRghR4KD8EYU0NChh/view?usp=drivesdk")</f>
        <v>https://drive.google.com/file/d/1ymiKx_sXHBnL0cdeRghR4KD8EYU0NChh/view?usp=drivesdk</v>
      </c>
      <c r="G238" s="7" t="s">
        <v>2461</v>
      </c>
      <c r="H238" s="95" t="s">
        <v>3291</v>
      </c>
      <c r="I238" s="10"/>
      <c r="J238" s="8">
        <v>10.1</v>
      </c>
      <c r="K238" s="8">
        <v>856</v>
      </c>
      <c r="L238" s="11" t="s">
        <v>1052</v>
      </c>
      <c r="M238" s="39" t="s">
        <v>265</v>
      </c>
      <c r="N238" s="39" t="s">
        <v>265</v>
      </c>
      <c r="O238" s="38" t="s">
        <v>265</v>
      </c>
    </row>
    <row r="239" spans="1:15" ht="27" customHeight="1">
      <c r="A239" s="5">
        <v>45049</v>
      </c>
      <c r="B239" s="19" t="s">
        <v>1678</v>
      </c>
      <c r="C239" s="23" t="s">
        <v>1336</v>
      </c>
      <c r="D239" s="7" t="s">
        <v>2455</v>
      </c>
      <c r="E239" s="103" t="s">
        <v>2456</v>
      </c>
      <c r="F239" s="85" t="str">
        <f>HYPERLINK("https://drive.google.com/file/d/1yv8IvC5C2jVDBzMBCQ0uf7UDfglUoK3g/view?usp=drivesdk","https://drive.google.com/file/d/1yv8IvC5C2jVDBzMBCQ0uf7UDfglUoK3g/view?usp=drivesdk")</f>
        <v>https://drive.google.com/file/d/1yv8IvC5C2jVDBzMBCQ0uf7UDfglUoK3g/view?usp=drivesdk</v>
      </c>
      <c r="G239" s="7" t="s">
        <v>2457</v>
      </c>
      <c r="H239" s="73" t="s">
        <v>3265</v>
      </c>
      <c r="I239" s="10"/>
      <c r="J239" s="8">
        <v>8.5</v>
      </c>
      <c r="K239" s="8">
        <v>975</v>
      </c>
      <c r="L239" s="11" t="s">
        <v>2458</v>
      </c>
      <c r="M239" s="39" t="s">
        <v>265</v>
      </c>
      <c r="N239" s="39" t="s">
        <v>265</v>
      </c>
      <c r="O239" s="38" t="s">
        <v>265</v>
      </c>
    </row>
    <row r="240" spans="1:15" ht="27">
      <c r="A240" s="5">
        <v>45047</v>
      </c>
      <c r="B240" s="18" t="s">
        <v>15</v>
      </c>
      <c r="C240" s="23" t="s">
        <v>16</v>
      </c>
      <c r="D240" s="7" t="s">
        <v>2451</v>
      </c>
      <c r="E240" s="66" t="s">
        <v>2452</v>
      </c>
      <c r="F240" s="85" t="str">
        <f>HYPERLINK("https://drive.google.com/file/d/1NZ50C-mLottPGPy-aDoV2vHCoRpyIBjb/view?usp=drivesdk","https://drive.google.com/file/d/1NZ50C-mLottPGPy-aDoV2vHCoRpyIBjb/view?usp=drivesdk")</f>
        <v>https://drive.google.com/file/d/1NZ50C-mLottPGPy-aDoV2vHCoRpyIBjb/view?usp=drivesdk</v>
      </c>
      <c r="G240" s="7" t="s">
        <v>2453</v>
      </c>
      <c r="H240" s="95" t="s">
        <v>3301</v>
      </c>
      <c r="I240" s="10"/>
      <c r="J240" s="8">
        <v>209.5</v>
      </c>
      <c r="K240" s="8">
        <v>2614</v>
      </c>
      <c r="L240" s="11" t="s">
        <v>2454</v>
      </c>
      <c r="M240" s="39" t="s">
        <v>22</v>
      </c>
      <c r="N240" s="43" t="s">
        <v>675</v>
      </c>
      <c r="O240" s="43" t="s">
        <v>879</v>
      </c>
    </row>
    <row r="241" spans="1:15" ht="27">
      <c r="A241" s="5">
        <v>45045</v>
      </c>
      <c r="B241" s="6" t="s">
        <v>246</v>
      </c>
      <c r="C241" s="23" t="s">
        <v>1336</v>
      </c>
      <c r="D241" s="7" t="s">
        <v>2447</v>
      </c>
      <c r="E241" s="66" t="s">
        <v>2448</v>
      </c>
      <c r="F241" s="85" t="str">
        <f>HYPERLINK("https://drive.google.com/file/d/1Wrd4fvJJGRRYl41jJS-NA3-lEu6sPZzt/view?usp=drivesdk","https://drive.google.com/file/d/1Wrd4fvJJGRRYl41jJS-NA3-lEu6sPZzt/view?usp=drivesdk")</f>
        <v>https://drive.google.com/file/d/1Wrd4fvJJGRRYl41jJS-NA3-lEu6sPZzt/view?usp=drivesdk</v>
      </c>
      <c r="G241" s="7" t="s">
        <v>2449</v>
      </c>
      <c r="H241" s="95" t="s">
        <v>3202</v>
      </c>
      <c r="I241" s="10"/>
      <c r="J241" s="8">
        <v>15.2</v>
      </c>
      <c r="K241" s="8">
        <v>1058</v>
      </c>
      <c r="L241" s="11" t="s">
        <v>2450</v>
      </c>
      <c r="M241" s="39" t="s">
        <v>1896</v>
      </c>
      <c r="N241" s="43" t="s">
        <v>675</v>
      </c>
      <c r="O241" s="43" t="s">
        <v>1897</v>
      </c>
    </row>
    <row r="242" spans="1:15" ht="18.75" customHeight="1">
      <c r="A242" s="5">
        <v>45032</v>
      </c>
      <c r="B242" s="18" t="s">
        <v>15</v>
      </c>
      <c r="C242" s="23" t="s">
        <v>16</v>
      </c>
      <c r="D242" s="7" t="s">
        <v>2443</v>
      </c>
      <c r="E242" s="103" t="s">
        <v>2444</v>
      </c>
      <c r="F242" s="85" t="str">
        <f>HYPERLINK("https://drive.google.com/file/d/1iz9PSeQy8d9W7n1i_vXtNfjpnhPBsmcQ/view?usp=drivesdk","https://drive.google.com/file/d/1iz9PSeQy8d9W7n1i_vXtNfjpnhPBsmcQ/view?usp=drivesdk")</f>
        <v>https://drive.google.com/file/d/1iz9PSeQy8d9W7n1i_vXtNfjpnhPBsmcQ/view?usp=drivesdk</v>
      </c>
      <c r="G242" s="7" t="s">
        <v>2445</v>
      </c>
      <c r="H242" s="95" t="s">
        <v>3264</v>
      </c>
      <c r="I242" s="10"/>
      <c r="J242" s="8">
        <v>146</v>
      </c>
      <c r="K242" s="8">
        <v>2270</v>
      </c>
      <c r="L242" s="11" t="s">
        <v>2446</v>
      </c>
      <c r="M242" s="39" t="s">
        <v>22</v>
      </c>
      <c r="N242" s="43" t="s">
        <v>23</v>
      </c>
      <c r="O242" s="42" t="s">
        <v>136</v>
      </c>
    </row>
    <row r="243" spans="1:15" ht="27" customHeight="1">
      <c r="A243" s="5">
        <v>45025</v>
      </c>
      <c r="B243" s="19" t="s">
        <v>1678</v>
      </c>
      <c r="C243" s="23" t="s">
        <v>1336</v>
      </c>
      <c r="D243" s="7" t="s">
        <v>2439</v>
      </c>
      <c r="E243" s="103" t="s">
        <v>2440</v>
      </c>
      <c r="F243" s="85" t="str">
        <f>HYPERLINK("https://drive.google.com/file/d/1jHHgmca_m9Cq59wYT7aXnEntO5PBrXm-/view?usp=drivesdk","https://drive.google.com/file/d/1jHHgmca_m9Cq59wYT7aXnEntO5PBrXm-/view?usp=drivesdk")</f>
        <v>https://drive.google.com/file/d/1jHHgmca_m9Cq59wYT7aXnEntO5PBrXm-/view?usp=drivesdk</v>
      </c>
      <c r="G243" s="7" t="s">
        <v>2441</v>
      </c>
      <c r="H243" s="95" t="s">
        <v>3200</v>
      </c>
      <c r="I243" s="10"/>
      <c r="J243" s="8">
        <v>7</v>
      </c>
      <c r="K243" s="8">
        <v>604</v>
      </c>
      <c r="L243" s="11" t="s">
        <v>2442</v>
      </c>
      <c r="M243" s="39" t="s">
        <v>265</v>
      </c>
      <c r="N243" s="39" t="s">
        <v>265</v>
      </c>
      <c r="O243" s="39" t="s">
        <v>265</v>
      </c>
    </row>
    <row r="244" spans="1:15" ht="18.75" customHeight="1">
      <c r="A244" s="5">
        <v>45024</v>
      </c>
      <c r="B244" s="18" t="s">
        <v>15</v>
      </c>
      <c r="C244" s="23" t="s">
        <v>16</v>
      </c>
      <c r="D244" s="7" t="s">
        <v>2436</v>
      </c>
      <c r="E244" s="103" t="s">
        <v>2437</v>
      </c>
      <c r="F244" s="85" t="str">
        <f>HYPERLINK("https://drive.google.com/file/d/1cGPfmHC9rCJOnwcjSvGpoOwKEPaCqErU/view?usp=drivesdk","https://drive.google.com/file/d/1cGPfmHC9rCJOnwcjSvGpoOwKEPaCqErU/view?usp=drivesdk")</f>
        <v>https://drive.google.com/file/d/1cGPfmHC9rCJOnwcjSvGpoOwKEPaCqErU/view?usp=drivesdk</v>
      </c>
      <c r="G244" s="7" t="s">
        <v>2438</v>
      </c>
      <c r="H244" s="95" t="s">
        <v>3200</v>
      </c>
      <c r="I244" s="24" t="s">
        <v>40</v>
      </c>
      <c r="J244" s="8">
        <v>73.400000000000006</v>
      </c>
      <c r="K244" s="8">
        <v>1119</v>
      </c>
      <c r="L244" s="11" t="s">
        <v>988</v>
      </c>
      <c r="M244" s="39" t="s">
        <v>1896</v>
      </c>
      <c r="N244" s="43" t="s">
        <v>675</v>
      </c>
      <c r="O244" s="42" t="s">
        <v>1897</v>
      </c>
    </row>
    <row r="245" spans="1:15" ht="18.75" customHeight="1">
      <c r="A245" s="5">
        <v>45021</v>
      </c>
      <c r="B245" s="18" t="s">
        <v>15</v>
      </c>
      <c r="C245" s="23" t="s">
        <v>16</v>
      </c>
      <c r="D245" s="7" t="s">
        <v>2432</v>
      </c>
      <c r="E245" s="103" t="s">
        <v>2433</v>
      </c>
      <c r="F245" s="85" t="str">
        <f>HYPERLINK("https://drive.google.com/file/d/1eBE5ia4eTuImB3K1EO4iyJ0xFuEQjw4U/view?usp=drivesdk","https://drive.google.com/file/d/1eBE5ia4eTuImB3K1EO4iyJ0xFuEQjw4U/view?usp=drivesdk")</f>
        <v>https://drive.google.com/file/d/1eBE5ia4eTuImB3K1EO4iyJ0xFuEQjw4U/view?usp=drivesdk</v>
      </c>
      <c r="G245" s="7" t="s">
        <v>2434</v>
      </c>
      <c r="H245" s="73" t="s">
        <v>222</v>
      </c>
      <c r="I245" s="31" t="s">
        <v>1610</v>
      </c>
      <c r="J245" s="8">
        <v>46.2</v>
      </c>
      <c r="K245" s="8">
        <v>240</v>
      </c>
      <c r="L245" s="11" t="s">
        <v>2435</v>
      </c>
      <c r="M245" s="39" t="s">
        <v>102</v>
      </c>
      <c r="N245" s="43" t="s">
        <v>194</v>
      </c>
      <c r="O245" s="42" t="s">
        <v>195</v>
      </c>
    </row>
    <row r="246" spans="1:15" ht="27">
      <c r="A246" s="5">
        <v>45018</v>
      </c>
      <c r="B246" s="18" t="s">
        <v>15</v>
      </c>
      <c r="C246" s="23" t="s">
        <v>16</v>
      </c>
      <c r="D246" s="7" t="s">
        <v>2428</v>
      </c>
      <c r="E246" s="66" t="s">
        <v>2429</v>
      </c>
      <c r="F246" s="85" t="str">
        <f>HYPERLINK("https://drive.google.com/file/d/1TRdqngvOv3xZ3B_YVYrkTQOv-avg-GOR/view?usp=drivesdk","https://drive.google.com/file/d/1TRdqngvOv3xZ3B_YVYrkTQOv-avg-GOR/view?usp=drivesdk")</f>
        <v>https://drive.google.com/file/d/1TRdqngvOv3xZ3B_YVYrkTQOv-avg-GOR/view?usp=drivesdk</v>
      </c>
      <c r="G246" s="7" t="s">
        <v>2430</v>
      </c>
      <c r="H246" s="95" t="s">
        <v>3292</v>
      </c>
      <c r="I246" s="10"/>
      <c r="J246" s="8">
        <v>1.9</v>
      </c>
      <c r="K246" s="8">
        <v>40</v>
      </c>
      <c r="L246" s="11" t="s">
        <v>2431</v>
      </c>
      <c r="M246" s="39" t="s">
        <v>330</v>
      </c>
      <c r="N246" s="43" t="s">
        <v>331</v>
      </c>
      <c r="O246" s="42" t="s">
        <v>332</v>
      </c>
    </row>
    <row r="247" spans="1:15">
      <c r="A247" s="5">
        <v>45011</v>
      </c>
      <c r="B247" s="20" t="s">
        <v>1632</v>
      </c>
      <c r="C247" s="23" t="s">
        <v>1633</v>
      </c>
      <c r="D247" s="7" t="s">
        <v>2426</v>
      </c>
      <c r="E247" s="103" t="s">
        <v>2427</v>
      </c>
      <c r="F247" s="85" t="str">
        <f>HYPERLINK("https://drive.google.com/file/d/1wM4dFvXCAu_H7pIS8fHNkk9oOsNX1zJ4/view?usp=drivesdk","https://drive.google.com/file/d/1wM4dFvXCAu_H7pIS8fHNkk9oOsNX1zJ4/view?usp=drivesdk")</f>
        <v>https://drive.google.com/file/d/1wM4dFvXCAu_H7pIS8fHNkk9oOsNX1zJ4/view?usp=drivesdk</v>
      </c>
      <c r="G247" s="7" t="s">
        <v>389</v>
      </c>
      <c r="H247" s="95" t="s">
        <v>3245</v>
      </c>
      <c r="I247" s="10"/>
      <c r="J247" s="8">
        <v>6.3</v>
      </c>
      <c r="K247" s="8">
        <v>86</v>
      </c>
      <c r="L247" s="11" t="s">
        <v>1923</v>
      </c>
      <c r="M247" s="39" t="s">
        <v>265</v>
      </c>
      <c r="N247" s="39" t="s">
        <v>265</v>
      </c>
      <c r="O247" s="38" t="s">
        <v>265</v>
      </c>
    </row>
    <row r="248" spans="1:15" ht="27" customHeight="1">
      <c r="A248" s="5">
        <v>45007</v>
      </c>
      <c r="B248" s="20" t="s">
        <v>1632</v>
      </c>
      <c r="C248" s="34" t="s">
        <v>1633</v>
      </c>
      <c r="D248" s="7" t="s">
        <v>2422</v>
      </c>
      <c r="E248" s="103" t="s">
        <v>2423</v>
      </c>
      <c r="F248" s="85" t="str">
        <f>HYPERLINK("https://drive.google.com/file/d/1bKYxoflYYxM_vcIFLEYs8RKyejUodc54/view?usp=drivesdk","https://drive.google.com/file/d/1bKYxoflYYxM_vcIFLEYs8RKyejUodc54/view?usp=drivesdk")</f>
        <v>https://drive.google.com/file/d/1bKYxoflYYxM_vcIFLEYs8RKyejUodc54/view?usp=drivesdk</v>
      </c>
      <c r="G248" s="7" t="s">
        <v>2424</v>
      </c>
      <c r="H248" s="95" t="s">
        <v>3193</v>
      </c>
      <c r="I248" s="10"/>
      <c r="J248" s="8">
        <v>37.5</v>
      </c>
      <c r="K248" s="8">
        <v>241</v>
      </c>
      <c r="L248" s="11" t="s">
        <v>2425</v>
      </c>
      <c r="M248" s="39" t="s">
        <v>265</v>
      </c>
      <c r="N248" s="39" t="s">
        <v>265</v>
      </c>
      <c r="O248" s="38" t="s">
        <v>265</v>
      </c>
    </row>
    <row r="249" spans="1:15" ht="27" customHeight="1">
      <c r="A249" s="5">
        <v>45006</v>
      </c>
      <c r="B249" s="18" t="s">
        <v>15</v>
      </c>
      <c r="C249" s="23" t="s">
        <v>16</v>
      </c>
      <c r="D249" s="7" t="s">
        <v>32</v>
      </c>
      <c r="E249" s="66" t="s">
        <v>2420</v>
      </c>
      <c r="F249" s="85" t="str">
        <f>HYPERLINK("https://drive.google.com/file/d/1zGP_4t8Xv1wP9QpjrW7S3X9b111YjM0Y/view?usp=drivesdk","https://drive.google.com/file/d/1zGP_4t8Xv1wP9QpjrW7S3X9b111YjM0Y/view?usp=drivesdk")</f>
        <v>https://drive.google.com/file/d/1zGP_4t8Xv1wP9QpjrW7S3X9b111YjM0Y/view?usp=drivesdk</v>
      </c>
      <c r="G249" s="7" t="s">
        <v>2421</v>
      </c>
      <c r="H249" s="73" t="s">
        <v>222</v>
      </c>
      <c r="I249" s="24" t="s">
        <v>40</v>
      </c>
      <c r="J249" s="8">
        <v>84.5</v>
      </c>
      <c r="K249" s="8">
        <v>329</v>
      </c>
      <c r="L249" s="11" t="s">
        <v>1518</v>
      </c>
      <c r="M249" s="39" t="s">
        <v>102</v>
      </c>
      <c r="N249" s="43" t="s">
        <v>194</v>
      </c>
      <c r="O249" s="42" t="s">
        <v>195</v>
      </c>
    </row>
    <row r="250" spans="1:15" ht="40.5">
      <c r="A250" s="5">
        <v>45004</v>
      </c>
      <c r="B250" s="18" t="s">
        <v>15</v>
      </c>
      <c r="C250" s="23" t="s">
        <v>16</v>
      </c>
      <c r="D250" s="7" t="s">
        <v>32</v>
      </c>
      <c r="E250" s="66" t="s">
        <v>2417</v>
      </c>
      <c r="F250" s="85" t="str">
        <f>HYPERLINK("https://drive.google.com/file/d/15Xtr8sJk8EvQ3-Xs2CXkNtwrLW55ifuk/view?usp=drivesdk","https://drive.google.com/file/d/15Xtr8sJk8EvQ3-Xs2CXkNtwrLW55ifuk/view?usp=drivesdk")</f>
        <v>https://drive.google.com/file/d/15Xtr8sJk8EvQ3-Xs2CXkNtwrLW55ifuk/view?usp=drivesdk</v>
      </c>
      <c r="G250" s="7" t="s">
        <v>2418</v>
      </c>
      <c r="H250" s="73" t="s">
        <v>222</v>
      </c>
      <c r="I250" s="24" t="s">
        <v>40</v>
      </c>
      <c r="J250" s="8">
        <v>31.1</v>
      </c>
      <c r="K250" s="8">
        <v>171</v>
      </c>
      <c r="L250" s="11" t="s">
        <v>2419</v>
      </c>
      <c r="M250" s="39" t="s">
        <v>330</v>
      </c>
      <c r="N250" s="43" t="s">
        <v>331</v>
      </c>
      <c r="O250" s="43" t="s">
        <v>332</v>
      </c>
    </row>
    <row r="251" spans="1:15" ht="27">
      <c r="A251" s="5">
        <v>44997</v>
      </c>
      <c r="B251" s="18" t="s">
        <v>15</v>
      </c>
      <c r="C251" s="23" t="s">
        <v>16</v>
      </c>
      <c r="D251" s="7" t="s">
        <v>2412</v>
      </c>
      <c r="E251" s="66" t="s">
        <v>2413</v>
      </c>
      <c r="F251" s="85" t="str">
        <f>HYPERLINK("https://drive.google.com/file/d/1A2ZDaaaJzUv2pZol00OapU37EDR3l0On/view?usp=drivesdk","https://drive.google.com/file/d/1A2ZDaaaJzUv2pZol00OapU37EDR3l0On/view?usp=drivesdk")</f>
        <v>https://drive.google.com/file/d/1A2ZDaaaJzUv2pZol00OapU37EDR3l0On/view?usp=drivesdk</v>
      </c>
      <c r="G251" s="7" t="s">
        <v>2414</v>
      </c>
      <c r="H251" s="95" t="s">
        <v>3264</v>
      </c>
      <c r="I251" s="25" t="s">
        <v>2415</v>
      </c>
      <c r="J251" s="8">
        <v>105.6</v>
      </c>
      <c r="K251" s="8">
        <v>527</v>
      </c>
      <c r="L251" s="11" t="s">
        <v>2416</v>
      </c>
      <c r="M251" s="39" t="s">
        <v>22</v>
      </c>
      <c r="N251" s="43" t="s">
        <v>675</v>
      </c>
      <c r="O251" s="42" t="s">
        <v>879</v>
      </c>
    </row>
    <row r="252" spans="1:15" ht="28.5" customHeight="1">
      <c r="A252" s="5">
        <v>44996</v>
      </c>
      <c r="B252" s="19" t="s">
        <v>1678</v>
      </c>
      <c r="C252" s="23" t="s">
        <v>1336</v>
      </c>
      <c r="D252" s="7" t="s">
        <v>1874</v>
      </c>
      <c r="E252" s="66" t="s">
        <v>2411</v>
      </c>
      <c r="F252" s="85" t="str">
        <f>HYPERLINK("https://drive.google.com/file/d/1Yq-dbOtIwucvVn2vxCVoJjBqrhKl0v8M/view?usp=drivesdk","https://drive.google.com/file/d/1Yq-dbOtIwucvVn2vxCVoJjBqrhKl0v8M/view?usp=drivesdk")</f>
        <v>https://drive.google.com/file/d/1Yq-dbOtIwucvVn2vxCVoJjBqrhKl0v8M/view?usp=drivesdk</v>
      </c>
      <c r="G252" s="7" t="s">
        <v>1918</v>
      </c>
      <c r="H252" s="95" t="s">
        <v>3208</v>
      </c>
      <c r="I252" s="71" t="s">
        <v>1874</v>
      </c>
      <c r="J252" s="8">
        <v>22.1</v>
      </c>
      <c r="K252" s="8">
        <v>1847</v>
      </c>
      <c r="L252" s="11" t="s">
        <v>1071</v>
      </c>
      <c r="M252" s="39" t="s">
        <v>265</v>
      </c>
      <c r="N252" s="39" t="s">
        <v>265</v>
      </c>
      <c r="O252" s="39" t="s">
        <v>265</v>
      </c>
    </row>
    <row r="253" spans="1:15">
      <c r="A253" s="5">
        <v>44983</v>
      </c>
      <c r="B253" s="18" t="s">
        <v>15</v>
      </c>
      <c r="C253" s="23" t="s">
        <v>16</v>
      </c>
      <c r="D253" s="7" t="s">
        <v>566</v>
      </c>
      <c r="E253" s="103" t="s">
        <v>2408</v>
      </c>
      <c r="F253" s="85" t="str">
        <f>HYPERLINK("https://drive.google.com/file/d/18eXO7NrXm5cC1J2ThTcAuqk2inPjQH1s/view?usp=drivesdk","https://drive.google.com/file/d/18eXO7NrXm5cC1J2ThTcAuqk2inPjQH1s/view?usp=drivesdk")</f>
        <v>https://drive.google.com/file/d/18eXO7NrXm5cC1J2ThTcAuqk2inPjQH1s/view?usp=drivesdk</v>
      </c>
      <c r="G253" s="7" t="s">
        <v>2409</v>
      </c>
      <c r="H253" s="95" t="s">
        <v>3344</v>
      </c>
      <c r="I253" s="10"/>
      <c r="J253" s="8">
        <v>196.5</v>
      </c>
      <c r="K253" s="8">
        <v>1235</v>
      </c>
      <c r="L253" s="11" t="s">
        <v>2410</v>
      </c>
      <c r="M253" s="39" t="s">
        <v>22</v>
      </c>
      <c r="N253" s="43" t="s">
        <v>675</v>
      </c>
      <c r="O253" s="42" t="s">
        <v>1584</v>
      </c>
    </row>
    <row r="254" spans="1:15">
      <c r="A254" s="5">
        <v>44978</v>
      </c>
      <c r="B254" s="6" t="s">
        <v>246</v>
      </c>
      <c r="C254" s="23" t="s">
        <v>1336</v>
      </c>
      <c r="D254" s="7" t="s">
        <v>2405</v>
      </c>
      <c r="E254" s="103" t="s">
        <v>2406</v>
      </c>
      <c r="F254" s="85" t="str">
        <f>HYPERLINK("https://drive.google.com/file/d/1mRolKN2kHL_8mBZO0eE6F8IB_qR0-XD6/view?usp=drivesdk","https://drive.google.com/file/d/1mRolKN2kHL_8mBZO0eE6F8IB_qR0-XD6/view?usp=drivesdk")</f>
        <v>https://drive.google.com/file/d/1mRolKN2kHL_8mBZO0eE6F8IB_qR0-XD6/view?usp=drivesdk</v>
      </c>
      <c r="G254" s="7" t="s">
        <v>2407</v>
      </c>
      <c r="H254" s="95" t="s">
        <v>3227</v>
      </c>
      <c r="I254" s="10"/>
      <c r="J254" s="8">
        <v>29.6</v>
      </c>
      <c r="K254" s="8">
        <v>244</v>
      </c>
      <c r="L254" s="11" t="s">
        <v>1993</v>
      </c>
      <c r="M254" s="39" t="s">
        <v>779</v>
      </c>
      <c r="N254" s="43" t="s">
        <v>267</v>
      </c>
      <c r="O254" s="43" t="s">
        <v>267</v>
      </c>
    </row>
    <row r="255" spans="1:15" ht="54" customHeight="1">
      <c r="A255" s="5">
        <v>44968</v>
      </c>
      <c r="B255" s="19" t="s">
        <v>1678</v>
      </c>
      <c r="C255" s="23" t="s">
        <v>1336</v>
      </c>
      <c r="D255" s="7" t="s">
        <v>2401</v>
      </c>
      <c r="E255" s="103" t="s">
        <v>2402</v>
      </c>
      <c r="F255" s="85" t="str">
        <f>HYPERLINK("https://drive.google.com/file/d/1KWqHYRkC39mAtuRzK-U-NwCMsPskYP4E/view?usp=drivesdk","https://drive.google.com/file/d/1KWqHYRkC39mAtuRzK-U-NwCMsPskYP4E/view?usp=drivesdk")</f>
        <v>https://drive.google.com/file/d/1KWqHYRkC39mAtuRzK-U-NwCMsPskYP4E/view?usp=drivesdk</v>
      </c>
      <c r="G255" s="7" t="s">
        <v>2403</v>
      </c>
      <c r="H255" s="95" t="s">
        <v>3203</v>
      </c>
      <c r="I255" s="10"/>
      <c r="J255" s="8">
        <v>12</v>
      </c>
      <c r="K255" s="8">
        <v>1082</v>
      </c>
      <c r="L255" s="11" t="s">
        <v>2404</v>
      </c>
      <c r="M255" s="39" t="s">
        <v>265</v>
      </c>
      <c r="N255" s="39" t="s">
        <v>265</v>
      </c>
      <c r="O255" s="38" t="s">
        <v>265</v>
      </c>
    </row>
    <row r="256" spans="1:15" ht="27" customHeight="1">
      <c r="A256" s="5">
        <v>44955</v>
      </c>
      <c r="B256" s="18" t="s">
        <v>15</v>
      </c>
      <c r="C256" s="23" t="s">
        <v>16</v>
      </c>
      <c r="D256" s="7" t="s">
        <v>2398</v>
      </c>
      <c r="E256" s="103" t="s">
        <v>2399</v>
      </c>
      <c r="F256" s="85" t="str">
        <f>HYPERLINK("https://drive.google.com/file/d/1Q-nNwGS9pFZ4SEYdYYEmuxxeLnQszS5B/view?usp=drivesdk","https://drive.google.com/file/d/1Q-nNwGS9pFZ4SEYdYYEmuxxeLnQszS5B/view?usp=drivesdk")</f>
        <v>https://drive.google.com/file/d/1Q-nNwGS9pFZ4SEYdYYEmuxxeLnQszS5B/view?usp=drivesdk</v>
      </c>
      <c r="G256" s="7" t="s">
        <v>2400</v>
      </c>
      <c r="H256" s="95" t="s">
        <v>3300</v>
      </c>
      <c r="I256" s="10"/>
      <c r="J256" s="8">
        <v>154.4</v>
      </c>
      <c r="K256" s="8">
        <v>843</v>
      </c>
      <c r="L256" s="11" t="s">
        <v>2347</v>
      </c>
      <c r="M256" s="39" t="s">
        <v>330</v>
      </c>
      <c r="N256" s="43" t="s">
        <v>2369</v>
      </c>
      <c r="O256" s="43" t="s">
        <v>2370</v>
      </c>
    </row>
    <row r="257" spans="1:15" ht="27" customHeight="1">
      <c r="A257" s="5">
        <v>44954</v>
      </c>
      <c r="B257" s="18" t="s">
        <v>15</v>
      </c>
      <c r="C257" s="23" t="s">
        <v>16</v>
      </c>
      <c r="D257" s="7" t="s">
        <v>2394</v>
      </c>
      <c r="E257" s="103" t="s">
        <v>2395</v>
      </c>
      <c r="F257" s="85" t="str">
        <f>HYPERLINK("https://drive.google.com/file/d/1fju0srQ4mRl8maZpYaM7Znm2AWx9K_ZO/view?usp=drivesdk","https://drive.google.com/file/d/1fju0srQ4mRl8maZpYaM7Znm2AWx9K_ZO/view?usp=drivesdk")</f>
        <v>https://drive.google.com/file/d/1fju0srQ4mRl8maZpYaM7Znm2AWx9K_ZO/view?usp=drivesdk</v>
      </c>
      <c r="G257" s="7" t="s">
        <v>2396</v>
      </c>
      <c r="H257" s="73" t="s">
        <v>368</v>
      </c>
      <c r="I257" s="10"/>
      <c r="J257" s="8">
        <v>57</v>
      </c>
      <c r="K257" s="8">
        <v>652</v>
      </c>
      <c r="L257" s="11" t="s">
        <v>2397</v>
      </c>
      <c r="M257" s="39" t="s">
        <v>330</v>
      </c>
      <c r="N257" s="43" t="s">
        <v>2369</v>
      </c>
      <c r="O257" s="43" t="s">
        <v>2370</v>
      </c>
    </row>
    <row r="258" spans="1:15" ht="40.5" customHeight="1">
      <c r="A258" s="5">
        <v>44948</v>
      </c>
      <c r="B258" s="18" t="s">
        <v>15</v>
      </c>
      <c r="C258" s="23" t="s">
        <v>16</v>
      </c>
      <c r="D258" s="7" t="s">
        <v>717</v>
      </c>
      <c r="E258" s="103" t="s">
        <v>2392</v>
      </c>
      <c r="F258" s="85" t="str">
        <f>HYPERLINK("https://drive.google.com/file/d/1YUd7UNZU418l0HyVUlI8US__53ZerVu8/view?usp=drivesdk","https://drive.google.com/file/d/1YUd7UNZU418l0HyVUlI8US__53ZerVu8/view?usp=drivesdk")</f>
        <v>https://drive.google.com/file/d/1YUd7UNZU418l0HyVUlI8US__53ZerVu8/view?usp=drivesdk</v>
      </c>
      <c r="G258" s="7" t="s">
        <v>717</v>
      </c>
      <c r="H258" s="95" t="s">
        <v>3208</v>
      </c>
      <c r="I258" s="10"/>
      <c r="J258" s="8">
        <v>99.2</v>
      </c>
      <c r="K258" s="8">
        <v>804</v>
      </c>
      <c r="L258" s="11" t="s">
        <v>2393</v>
      </c>
      <c r="M258" s="39" t="s">
        <v>22</v>
      </c>
      <c r="N258" s="43" t="s">
        <v>675</v>
      </c>
      <c r="O258" s="42" t="s">
        <v>879</v>
      </c>
    </row>
    <row r="259" spans="1:15" ht="27" customHeight="1">
      <c r="A259" s="5">
        <v>44940</v>
      </c>
      <c r="B259" s="18" t="s">
        <v>15</v>
      </c>
      <c r="C259" s="23" t="s">
        <v>16</v>
      </c>
      <c r="D259" s="7" t="s">
        <v>781</v>
      </c>
      <c r="E259" s="103" t="s">
        <v>2391</v>
      </c>
      <c r="F259" s="85" t="str">
        <f>HYPERLINK("https://drive.google.com/file/d/1kdAv6auxqMptvlLjk__0rQuFX4GJZWMx/view?usp=drivesdk","https://drive.google.com/file/d/1kdAv6auxqMptvlLjk__0rQuFX4GJZWMx/view?usp=drivesdk")</f>
        <v>https://drive.google.com/file/d/1kdAv6auxqMptvlLjk__0rQuFX4GJZWMx/view?usp=drivesdk</v>
      </c>
      <c r="G259" s="7" t="s">
        <v>781</v>
      </c>
      <c r="H259" s="95" t="s">
        <v>3221</v>
      </c>
      <c r="I259" s="10"/>
      <c r="J259" s="8">
        <v>137.6</v>
      </c>
      <c r="K259" s="8">
        <v>821</v>
      </c>
      <c r="L259" s="11" t="s">
        <v>1518</v>
      </c>
      <c r="M259" s="39" t="s">
        <v>22</v>
      </c>
      <c r="N259" s="43" t="s">
        <v>675</v>
      </c>
      <c r="O259" s="42" t="s">
        <v>1584</v>
      </c>
    </row>
    <row r="260" spans="1:15" ht="27" customHeight="1">
      <c r="A260" s="5">
        <v>44924</v>
      </c>
      <c r="B260" s="20" t="s">
        <v>1632</v>
      </c>
      <c r="C260" s="23" t="s">
        <v>1633</v>
      </c>
      <c r="D260" s="7" t="s">
        <v>2388</v>
      </c>
      <c r="E260" s="103" t="s">
        <v>2389</v>
      </c>
      <c r="F260" s="85" t="str">
        <f>HYPERLINK("https://drive.google.com/file/d/18vR0ODdT5teZgnVJoUPRPtZfqLa5HxyF/view?usp=drivesdk","https://drive.google.com/file/d/18vR0ODdT5teZgnVJoUPRPtZfqLa5HxyF/view?usp=drivesdk")</f>
        <v>https://drive.google.com/file/d/18vR0ODdT5teZgnVJoUPRPtZfqLa5HxyF/view?usp=drivesdk</v>
      </c>
      <c r="G260" s="7" t="s">
        <v>2390</v>
      </c>
      <c r="H260" s="95" t="s">
        <v>3193</v>
      </c>
      <c r="I260" s="15" t="s">
        <v>404</v>
      </c>
      <c r="J260" s="8">
        <v>10.6</v>
      </c>
      <c r="K260" s="8">
        <v>219</v>
      </c>
      <c r="L260" s="11" t="s">
        <v>2119</v>
      </c>
      <c r="M260" s="39" t="s">
        <v>265</v>
      </c>
      <c r="N260" s="39" t="s">
        <v>265</v>
      </c>
      <c r="O260" s="38" t="s">
        <v>265</v>
      </c>
    </row>
    <row r="261" spans="1:15" ht="27" customHeight="1">
      <c r="A261" s="5">
        <v>44913</v>
      </c>
      <c r="B261" s="18" t="s">
        <v>15</v>
      </c>
      <c r="C261" s="23" t="s">
        <v>16</v>
      </c>
      <c r="D261" s="7" t="s">
        <v>298</v>
      </c>
      <c r="E261" s="103" t="s">
        <v>2385</v>
      </c>
      <c r="F261" s="85" t="str">
        <f>HYPERLINK("https://drive.google.com/file/d/1VpldfTEAcqzCRagEvAi1Isoc2xCqpVfB/view?usp=drivesdk","https://drive.google.com/file/d/1VpldfTEAcqzCRagEvAi1Isoc2xCqpVfB/view?usp=drivesdk")</f>
        <v>https://drive.google.com/file/d/1VpldfTEAcqzCRagEvAi1Isoc2xCqpVfB/view?usp=drivesdk</v>
      </c>
      <c r="G261" s="7" t="s">
        <v>2386</v>
      </c>
      <c r="H261" s="95" t="s">
        <v>3345</v>
      </c>
      <c r="I261" s="10"/>
      <c r="J261" s="8">
        <v>150.80000000000001</v>
      </c>
      <c r="K261" s="8">
        <v>331</v>
      </c>
      <c r="L261" s="11" t="s">
        <v>2387</v>
      </c>
      <c r="M261" s="39" t="s">
        <v>22</v>
      </c>
      <c r="N261" s="43" t="s">
        <v>675</v>
      </c>
      <c r="O261" s="42" t="s">
        <v>1584</v>
      </c>
    </row>
    <row r="262" spans="1:15" ht="27" customHeight="1">
      <c r="A262" s="5">
        <v>44899</v>
      </c>
      <c r="B262" s="18" t="s">
        <v>15</v>
      </c>
      <c r="C262" s="23" t="s">
        <v>16</v>
      </c>
      <c r="D262" s="7" t="s">
        <v>2382</v>
      </c>
      <c r="E262" s="103" t="s">
        <v>2383</v>
      </c>
      <c r="F262" s="85" t="str">
        <f>HYPERLINK("https://drive.google.com/file/d/1CFYbco63B-clynSZH_FJPYuZ9uIjQiz6/view?usp=drivesdk","https://drive.google.com/file/d/1CFYbco63B-clynSZH_FJPYuZ9uIjQiz6/view?usp=drivesdk")</f>
        <v>https://drive.google.com/file/d/1CFYbco63B-clynSZH_FJPYuZ9uIjQiz6/view?usp=drivesdk</v>
      </c>
      <c r="G262" s="7" t="s">
        <v>2384</v>
      </c>
      <c r="H262" s="95" t="s">
        <v>3300</v>
      </c>
      <c r="I262" s="15" t="s">
        <v>404</v>
      </c>
      <c r="J262" s="8">
        <v>36.799999999999997</v>
      </c>
      <c r="K262" s="8">
        <v>69</v>
      </c>
      <c r="L262" s="11" t="s">
        <v>1270</v>
      </c>
      <c r="M262" s="39" t="s">
        <v>330</v>
      </c>
      <c r="N262" s="43" t="s">
        <v>331</v>
      </c>
      <c r="O262" s="42" t="s">
        <v>332</v>
      </c>
    </row>
    <row r="263" spans="1:15" ht="27" customHeight="1">
      <c r="A263" s="5">
        <v>44898</v>
      </c>
      <c r="B263" s="18" t="s">
        <v>15</v>
      </c>
      <c r="C263" s="23" t="s">
        <v>16</v>
      </c>
      <c r="D263" s="7" t="s">
        <v>2378</v>
      </c>
      <c r="E263" s="103" t="s">
        <v>2379</v>
      </c>
      <c r="F263" s="85" t="str">
        <f>HYPERLINK("https://drive.google.com/file/d/1DCRBtOkh7VyCdgK5PAPF1zOBaeM0K1DL/view?usp=drivesdk","https://drive.google.com/file/d/1DCRBtOkh7VyCdgK5PAPF1zOBaeM0K1DL/view?usp=drivesdk")</f>
        <v>https://drive.google.com/file/d/1DCRBtOkh7VyCdgK5PAPF1zOBaeM0K1DL/view?usp=drivesdk</v>
      </c>
      <c r="G263" s="7" t="s">
        <v>2380</v>
      </c>
      <c r="H263" s="95" t="s">
        <v>3233</v>
      </c>
      <c r="I263" s="15" t="s">
        <v>404</v>
      </c>
      <c r="J263" s="8">
        <v>129.1</v>
      </c>
      <c r="K263" s="8">
        <v>2010</v>
      </c>
      <c r="L263" s="11" t="s">
        <v>2381</v>
      </c>
      <c r="M263" s="39" t="s">
        <v>22</v>
      </c>
      <c r="N263" s="43" t="s">
        <v>675</v>
      </c>
      <c r="O263" s="43" t="s">
        <v>1584</v>
      </c>
    </row>
    <row r="264" spans="1:15" ht="27">
      <c r="A264" s="5">
        <v>44892</v>
      </c>
      <c r="B264" s="20" t="s">
        <v>1632</v>
      </c>
      <c r="C264" s="23" t="s">
        <v>1633</v>
      </c>
      <c r="D264" s="7" t="s">
        <v>32</v>
      </c>
      <c r="E264" s="103" t="s">
        <v>2375</v>
      </c>
      <c r="F264" s="85" t="str">
        <f>HYPERLINK("https://drive.google.com/file/d/1R_D5QF_9bv9ArgsU25Z4xMgno3vrgFZD/view?usp=drivesdk","https://drive.google.com/file/d/1R_D5QF_9bv9ArgsU25Z4xMgno3vrgFZD/view?usp=drivesdk")</f>
        <v>https://drive.google.com/file/d/1R_D5QF_9bv9ArgsU25Z4xMgno3vrgFZD/view?usp=drivesdk</v>
      </c>
      <c r="G264" s="7" t="s">
        <v>2376</v>
      </c>
      <c r="H264" s="73" t="s">
        <v>222</v>
      </c>
      <c r="I264" s="15" t="s">
        <v>404</v>
      </c>
      <c r="J264" s="8">
        <v>0.41199999999999998</v>
      </c>
      <c r="K264" s="8">
        <v>1</v>
      </c>
      <c r="L264" s="11" t="s">
        <v>2377</v>
      </c>
      <c r="M264" s="39" t="s">
        <v>265</v>
      </c>
      <c r="N264" s="39" t="s">
        <v>265</v>
      </c>
      <c r="O264" s="39" t="s">
        <v>265</v>
      </c>
    </row>
    <row r="265" spans="1:15" ht="40.5">
      <c r="A265" s="5">
        <v>44891</v>
      </c>
      <c r="B265" s="18" t="s">
        <v>15</v>
      </c>
      <c r="C265" s="23" t="s">
        <v>16</v>
      </c>
      <c r="D265" s="7" t="s">
        <v>2372</v>
      </c>
      <c r="E265" s="66" t="s">
        <v>2373</v>
      </c>
      <c r="F265" s="85" t="str">
        <f>HYPERLINK("https://drive.google.com/file/d/1cf78JVvjnxvdgu4nKVNAR3fjyFU_dZ-6/view?usp=drivesdk","https://drive.google.com/file/d/1cf78JVvjnxvdgu4nKVNAR3fjyFU_dZ-6/view?usp=drivesdk")</f>
        <v>https://drive.google.com/file/d/1cf78JVvjnxvdgu4nKVNAR3fjyFU_dZ-6/view?usp=drivesdk</v>
      </c>
      <c r="G265" s="7" t="s">
        <v>3346</v>
      </c>
      <c r="H265" s="95" t="s">
        <v>3224</v>
      </c>
      <c r="I265" s="15" t="s">
        <v>404</v>
      </c>
      <c r="J265" s="8">
        <v>142.30000000000001</v>
      </c>
      <c r="K265" s="8">
        <v>1776</v>
      </c>
      <c r="L265" s="11" t="s">
        <v>2374</v>
      </c>
      <c r="M265" s="39" t="s">
        <v>22</v>
      </c>
      <c r="N265" s="43" t="s">
        <v>675</v>
      </c>
      <c r="O265" s="42" t="s">
        <v>879</v>
      </c>
    </row>
    <row r="266" spans="1:15" ht="27" customHeight="1">
      <c r="A266" s="5">
        <v>44887</v>
      </c>
      <c r="B266" s="18" t="s">
        <v>15</v>
      </c>
      <c r="C266" s="23" t="s">
        <v>16</v>
      </c>
      <c r="D266" s="7" t="s">
        <v>1846</v>
      </c>
      <c r="E266" s="103" t="s">
        <v>2371</v>
      </c>
      <c r="F266" s="85" t="str">
        <f>HYPERLINK("https://drive.google.com/file/d/12G645BDVpaicJdPl5I01CYcsiYe07XoV/view?usp=drivesdk","https://drive.google.com/file/d/12G645BDVpaicJdPl5I01CYcsiYe07XoV/view?usp=drivesdk")</f>
        <v>https://drive.google.com/file/d/12G645BDVpaicJdPl5I01CYcsiYe07XoV/view?usp=drivesdk</v>
      </c>
      <c r="G266" s="7" t="s">
        <v>1846</v>
      </c>
      <c r="H266" s="95" t="s">
        <v>3215</v>
      </c>
      <c r="I266" s="15" t="s">
        <v>404</v>
      </c>
      <c r="J266" s="8">
        <v>35.4</v>
      </c>
      <c r="K266" s="8">
        <v>101</v>
      </c>
      <c r="L266" s="11" t="s">
        <v>2004</v>
      </c>
      <c r="M266" s="39" t="s">
        <v>102</v>
      </c>
      <c r="N266" s="43" t="s">
        <v>194</v>
      </c>
      <c r="O266" s="42" t="s">
        <v>195</v>
      </c>
    </row>
    <row r="267" spans="1:15" ht="40.5" customHeight="1">
      <c r="A267" s="5">
        <v>44884</v>
      </c>
      <c r="B267" s="18" t="s">
        <v>15</v>
      </c>
      <c r="C267" s="23" t="s">
        <v>16</v>
      </c>
      <c r="D267" s="7" t="s">
        <v>2366</v>
      </c>
      <c r="E267" s="103" t="s">
        <v>2367</v>
      </c>
      <c r="F267" s="85" t="str">
        <f>HYPERLINK("https://drive.google.com/file/d/1h55zB-tkR7RUjx9xes_rnbYxMWb11Kg3/view?usp=drivesdk","https://drive.google.com/file/d/1h55zB-tkR7RUjx9xes_rnbYxMWb11Kg3/view?usp=drivesdk")</f>
        <v>https://drive.google.com/file/d/1h55zB-tkR7RUjx9xes_rnbYxMWb11Kg3/view?usp=drivesdk</v>
      </c>
      <c r="G267" s="7" t="s">
        <v>2368</v>
      </c>
      <c r="H267" s="95" t="s">
        <v>3208</v>
      </c>
      <c r="I267" s="15" t="s">
        <v>404</v>
      </c>
      <c r="J267" s="8">
        <v>62.7</v>
      </c>
      <c r="K267" s="8">
        <v>526</v>
      </c>
      <c r="L267" s="11" t="s">
        <v>2265</v>
      </c>
      <c r="M267" s="39" t="s">
        <v>330</v>
      </c>
      <c r="N267" s="43" t="s">
        <v>2369</v>
      </c>
      <c r="O267" s="42" t="s">
        <v>2370</v>
      </c>
    </row>
    <row r="268" spans="1:15" ht="28.5" customHeight="1">
      <c r="A268" s="5">
        <v>44877</v>
      </c>
      <c r="B268" s="18" t="s">
        <v>15</v>
      </c>
      <c r="C268" s="23" t="s">
        <v>16</v>
      </c>
      <c r="D268" s="7" t="s">
        <v>2363</v>
      </c>
      <c r="E268" s="103" t="s">
        <v>2364</v>
      </c>
      <c r="F268" s="85" t="str">
        <f>HYPERLINK("https://drive.google.com/file/d/1p9_Rb238nXxB-81854Hu3Vy34yfg8xTF/view?usp=drivesdk","https://drive.google.com/file/d/1p9_Rb238nXxB-81854Hu3Vy34yfg8xTF/view?usp=drivesdk")</f>
        <v>https://drive.google.com/file/d/1p9_Rb238nXxB-81854Hu3Vy34yfg8xTF/view?usp=drivesdk</v>
      </c>
      <c r="G268" s="7" t="s">
        <v>2365</v>
      </c>
      <c r="H268" s="95" t="s">
        <v>3224</v>
      </c>
      <c r="I268" s="10"/>
      <c r="J268" s="8">
        <v>88</v>
      </c>
      <c r="K268" s="8">
        <v>1413</v>
      </c>
      <c r="L268" s="11" t="s">
        <v>1620</v>
      </c>
      <c r="M268" s="39" t="s">
        <v>1896</v>
      </c>
      <c r="N268" s="43" t="s">
        <v>675</v>
      </c>
      <c r="O268" s="42" t="s">
        <v>1897</v>
      </c>
    </row>
    <row r="269" spans="1:15" ht="14.25" customHeight="1">
      <c r="A269" s="5">
        <v>44871</v>
      </c>
      <c r="B269" s="18" t="s">
        <v>15</v>
      </c>
      <c r="C269" s="23" t="s">
        <v>16</v>
      </c>
      <c r="D269" s="7" t="s">
        <v>2360</v>
      </c>
      <c r="E269" s="66" t="s">
        <v>2361</v>
      </c>
      <c r="F269" s="85" t="str">
        <f>HYPERLINK("https://drive.google.com/file/d/1GbfxHy5a0ckqhyo4TTWAR0nrHUAfR0Gc/view?usp=drivesdk","https://drive.google.com/file/d/1GbfxHy5a0ckqhyo4TTWAR0nrHUAfR0Gc/view?usp=drivesdk")</f>
        <v>https://drive.google.com/file/d/1GbfxHy5a0ckqhyo4TTWAR0nrHUAfR0Gc/view?usp=drivesdk</v>
      </c>
      <c r="G269" s="7" t="s">
        <v>2360</v>
      </c>
      <c r="H269" s="95" t="s">
        <v>3203</v>
      </c>
      <c r="I269" s="15" t="s">
        <v>404</v>
      </c>
      <c r="J269" s="8">
        <v>19.899999999999999</v>
      </c>
      <c r="K269" s="8">
        <v>54</v>
      </c>
      <c r="L269" s="11" t="s">
        <v>2362</v>
      </c>
      <c r="M269" s="39" t="s">
        <v>22</v>
      </c>
      <c r="N269" s="43" t="s">
        <v>675</v>
      </c>
      <c r="O269" s="42" t="s">
        <v>1584</v>
      </c>
    </row>
    <row r="270" spans="1:15" ht="27" customHeight="1">
      <c r="A270" s="5">
        <v>44870</v>
      </c>
      <c r="B270" s="20" t="s">
        <v>1632</v>
      </c>
      <c r="C270" s="23" t="s">
        <v>1633</v>
      </c>
      <c r="D270" s="7" t="s">
        <v>710</v>
      </c>
      <c r="E270" s="103" t="s">
        <v>2358</v>
      </c>
      <c r="F270" s="85" t="str">
        <f>HYPERLINK("https://drive.google.com/file/d/1E7PxYu2Ksrm9zaLw31g789quuVB9dfzJ/view?usp=drivesdk","https://drive.google.com/file/d/1E7PxYu2Ksrm9zaLw31g789quuVB9dfzJ/view?usp=drivesdk")</f>
        <v>https://drive.google.com/file/d/1E7PxYu2Ksrm9zaLw31g789quuVB9dfzJ/view?usp=drivesdk</v>
      </c>
      <c r="G270" s="7" t="s">
        <v>710</v>
      </c>
      <c r="H270" s="95" t="s">
        <v>3203</v>
      </c>
      <c r="I270" s="15" t="s">
        <v>404</v>
      </c>
      <c r="J270" s="8">
        <v>10.6</v>
      </c>
      <c r="K270" s="8">
        <v>887</v>
      </c>
      <c r="L270" s="11" t="s">
        <v>2359</v>
      </c>
      <c r="M270" s="39" t="s">
        <v>265</v>
      </c>
      <c r="N270" s="39" t="s">
        <v>265</v>
      </c>
      <c r="O270" s="39" t="s">
        <v>265</v>
      </c>
    </row>
    <row r="271" spans="1:15" ht="27" customHeight="1">
      <c r="A271" s="5">
        <v>44868</v>
      </c>
      <c r="B271" s="18" t="s">
        <v>15</v>
      </c>
      <c r="C271" s="23" t="s">
        <v>16</v>
      </c>
      <c r="D271" s="7" t="s">
        <v>2355</v>
      </c>
      <c r="E271" s="103" t="s">
        <v>2356</v>
      </c>
      <c r="F271" s="85" t="str">
        <f>HYPERLINK("https://drive.google.com/file/d/1vkUtbgwfoOchejHJWmC12TeIPYGpCex1/view?usp=drivesdk","https://drive.google.com/file/d/1vkUtbgwfoOchejHJWmC12TeIPYGpCex1/view?usp=drivesdk")</f>
        <v>https://drive.google.com/file/d/1vkUtbgwfoOchejHJWmC12TeIPYGpCex1/view?usp=drivesdk</v>
      </c>
      <c r="G271" s="7" t="s">
        <v>2357</v>
      </c>
      <c r="H271" s="95" t="s">
        <v>3203</v>
      </c>
      <c r="I271" s="15" t="s">
        <v>404</v>
      </c>
      <c r="J271" s="8">
        <v>79.8</v>
      </c>
      <c r="K271" s="8">
        <v>2002</v>
      </c>
      <c r="L271" s="11" t="s">
        <v>1202</v>
      </c>
      <c r="M271" s="39" t="s">
        <v>1896</v>
      </c>
      <c r="N271" s="43" t="s">
        <v>675</v>
      </c>
      <c r="O271" s="42" t="s">
        <v>1897</v>
      </c>
    </row>
    <row r="272" spans="1:15">
      <c r="A272" s="5">
        <v>44864</v>
      </c>
      <c r="B272" s="19" t="s">
        <v>1678</v>
      </c>
      <c r="C272" s="23" t="s">
        <v>1336</v>
      </c>
      <c r="D272" s="7" t="s">
        <v>2352</v>
      </c>
      <c r="E272" s="103" t="s">
        <v>2353</v>
      </c>
      <c r="F272" s="85" t="str">
        <f>HYPERLINK("https://drive.google.com/file/d/1Ce1UO1eJDBczgen899XVuFos3SFLYVQL/view?usp=drivesdk","https://drive.google.com/file/d/1Ce1UO1eJDBczgen899XVuFos3SFLYVQL/view?usp=drivesdk")</f>
        <v>https://drive.google.com/file/d/1Ce1UO1eJDBczgen899XVuFos3SFLYVQL/view?usp=drivesdk</v>
      </c>
      <c r="G272" s="7" t="s">
        <v>2354</v>
      </c>
      <c r="H272" s="95" t="s">
        <v>3292</v>
      </c>
      <c r="I272" s="10"/>
      <c r="J272" s="8">
        <v>14.1</v>
      </c>
      <c r="K272" s="8">
        <v>419</v>
      </c>
      <c r="L272" s="11" t="s">
        <v>2031</v>
      </c>
      <c r="M272" s="39" t="s">
        <v>265</v>
      </c>
      <c r="N272" s="39" t="s">
        <v>265</v>
      </c>
      <c r="O272" s="39" t="s">
        <v>265</v>
      </c>
    </row>
    <row r="273" spans="1:15" ht="27" customHeight="1">
      <c r="A273" s="5">
        <v>44863</v>
      </c>
      <c r="B273" s="19" t="s">
        <v>1678</v>
      </c>
      <c r="C273" s="23" t="s">
        <v>1336</v>
      </c>
      <c r="D273" s="7" t="s">
        <v>2348</v>
      </c>
      <c r="E273" s="103" t="s">
        <v>2349</v>
      </c>
      <c r="F273" s="85" t="str">
        <f>HYPERLINK("https://drive.google.com/file/d/1z0f5IFgC5Nr90Bc_6EEjSGPsgOJQbj8q/view?usp=drivesdk","https://drive.google.com/file/d/1z0f5IFgC5Nr90Bc_6EEjSGPsgOJQbj8q/view?usp=drivesdk")</f>
        <v>https://drive.google.com/file/d/1z0f5IFgC5Nr90Bc_6EEjSGPsgOJQbj8q/view?usp=drivesdk</v>
      </c>
      <c r="G273" s="7" t="s">
        <v>2350</v>
      </c>
      <c r="H273" s="95" t="s">
        <v>3292</v>
      </c>
      <c r="I273" s="10"/>
      <c r="J273" s="8">
        <v>13.8</v>
      </c>
      <c r="K273" s="8">
        <v>266</v>
      </c>
      <c r="L273" s="11" t="s">
        <v>2351</v>
      </c>
      <c r="M273" s="39" t="s">
        <v>265</v>
      </c>
      <c r="N273" s="39" t="s">
        <v>265</v>
      </c>
      <c r="O273" s="39" t="s">
        <v>265</v>
      </c>
    </row>
    <row r="274" spans="1:15" ht="27" customHeight="1">
      <c r="A274" s="5">
        <v>44855</v>
      </c>
      <c r="B274" s="19" t="s">
        <v>1678</v>
      </c>
      <c r="C274" s="23" t="s">
        <v>1336</v>
      </c>
      <c r="D274" s="7" t="s">
        <v>2345</v>
      </c>
      <c r="E274" s="103" t="s">
        <v>2346</v>
      </c>
      <c r="F274" s="85" t="str">
        <f>HYPERLINK("https://drive.google.com/file/d/1L4HY4_uqUvlpVLjTHjmmYg9wJ53N4zYO/view?usp=drivesdk","https://drive.google.com/file/d/1L4HY4_uqUvlpVLjTHjmmYg9wJ53N4zYO/view?usp=drivesdk")</f>
        <v>https://drive.google.com/file/d/1L4HY4_uqUvlpVLjTHjmmYg9wJ53N4zYO/view?usp=drivesdk</v>
      </c>
      <c r="G274" s="7" t="s">
        <v>1813</v>
      </c>
      <c r="H274" s="95" t="s">
        <v>3202</v>
      </c>
      <c r="I274" s="10"/>
      <c r="J274" s="8">
        <v>24.5</v>
      </c>
      <c r="K274" s="8">
        <v>407</v>
      </c>
      <c r="L274" s="11" t="s">
        <v>2347</v>
      </c>
      <c r="M274" s="39" t="s">
        <v>265</v>
      </c>
      <c r="N274" s="39" t="s">
        <v>265</v>
      </c>
      <c r="O274" s="39" t="s">
        <v>265</v>
      </c>
    </row>
    <row r="275" spans="1:15" ht="27" customHeight="1">
      <c r="A275" s="5">
        <v>44850</v>
      </c>
      <c r="B275" s="18" t="s">
        <v>15</v>
      </c>
      <c r="C275" s="23" t="s">
        <v>16</v>
      </c>
      <c r="D275" s="7" t="s">
        <v>2341</v>
      </c>
      <c r="E275" s="66" t="s">
        <v>2342</v>
      </c>
      <c r="F275" s="85" t="str">
        <f>HYPERLINK("https://drive.google.com/file/d/1QkMrDLUZF16yg6Syvchf63imBL_gB3H-/view?usp=drivesdk","https://drive.google.com/file/d/1QkMrDLUZF16yg6Syvchf63imBL_gB3H-/view?usp=drivesdk")</f>
        <v>https://drive.google.com/file/d/1QkMrDLUZF16yg6Syvchf63imBL_gB3H-/view?usp=drivesdk</v>
      </c>
      <c r="G275" s="7" t="s">
        <v>2343</v>
      </c>
      <c r="H275" s="95" t="s">
        <v>3202</v>
      </c>
      <c r="I275" s="10"/>
      <c r="J275" s="8">
        <v>60.8</v>
      </c>
      <c r="K275" s="8">
        <v>1395</v>
      </c>
      <c r="L275" s="11" t="s">
        <v>2344</v>
      </c>
      <c r="M275" s="39" t="s">
        <v>1896</v>
      </c>
      <c r="N275" s="43" t="s">
        <v>675</v>
      </c>
      <c r="O275" s="43" t="s">
        <v>1897</v>
      </c>
    </row>
    <row r="276" spans="1:15" ht="27">
      <c r="A276" s="5">
        <v>44849</v>
      </c>
      <c r="B276" s="19" t="s">
        <v>1678</v>
      </c>
      <c r="C276" s="23" t="s">
        <v>1336</v>
      </c>
      <c r="D276" s="7" t="s">
        <v>2338</v>
      </c>
      <c r="E276" s="66" t="s">
        <v>2339</v>
      </c>
      <c r="F276" s="85" t="str">
        <f>HYPERLINK("https://drive.google.com/file/d/1vLXvKGRKBd0y412TsZft1q59GkHlk8C7/view?usp=drivesdk","https://drive.google.com/file/d/1vLXvKGRKBd0y412TsZft1q59GkHlk8C7/view?usp=drivesdk")</f>
        <v>https://drive.google.com/file/d/1vLXvKGRKBd0y412TsZft1q59GkHlk8C7/view?usp=drivesdk</v>
      </c>
      <c r="G276" s="7" t="s">
        <v>2340</v>
      </c>
      <c r="H276" s="95" t="s">
        <v>3202</v>
      </c>
      <c r="I276" s="10" t="s">
        <v>1939</v>
      </c>
      <c r="J276" s="8">
        <v>9.3000000000000007</v>
      </c>
      <c r="K276" s="8">
        <v>1181</v>
      </c>
      <c r="L276" s="11" t="s">
        <v>1032</v>
      </c>
      <c r="M276" s="39" t="s">
        <v>265</v>
      </c>
      <c r="N276" s="39" t="s">
        <v>265</v>
      </c>
      <c r="O276" s="39" t="s">
        <v>265</v>
      </c>
    </row>
    <row r="277" spans="1:15" ht="27" customHeight="1">
      <c r="A277" s="5">
        <v>44842</v>
      </c>
      <c r="B277" s="19" t="s">
        <v>1678</v>
      </c>
      <c r="C277" s="23" t="s">
        <v>1336</v>
      </c>
      <c r="D277" s="7" t="s">
        <v>2335</v>
      </c>
      <c r="E277" s="66" t="s">
        <v>2336</v>
      </c>
      <c r="F277" s="85" t="str">
        <f>HYPERLINK("https://drive.google.com/file/d/1erEfz4VQaFnRPWs0aiD_2qA3frfhRnJ2/view?usp=drivesdk","https://drive.google.com/file/d/1erEfz4VQaFnRPWs0aiD_2qA3frfhRnJ2/view?usp=drivesdk")</f>
        <v>https://drive.google.com/file/d/1erEfz4VQaFnRPWs0aiD_2qA3frfhRnJ2/view?usp=drivesdk</v>
      </c>
      <c r="G277" s="7" t="s">
        <v>2337</v>
      </c>
      <c r="H277" s="95" t="s">
        <v>3234</v>
      </c>
      <c r="I277" s="10"/>
      <c r="J277" s="8">
        <v>10.7</v>
      </c>
      <c r="K277" s="8">
        <v>454</v>
      </c>
      <c r="L277" s="11" t="s">
        <v>2160</v>
      </c>
      <c r="M277" s="39" t="s">
        <v>265</v>
      </c>
      <c r="N277" s="39" t="s">
        <v>265</v>
      </c>
      <c r="O277" s="39" t="s">
        <v>265</v>
      </c>
    </row>
    <row r="278" spans="1:15" ht="27" customHeight="1">
      <c r="A278" s="5">
        <v>44835</v>
      </c>
      <c r="B278" s="19" t="s">
        <v>1678</v>
      </c>
      <c r="C278" s="23" t="s">
        <v>1336</v>
      </c>
      <c r="D278" s="7" t="s">
        <v>2331</v>
      </c>
      <c r="E278" s="66" t="s">
        <v>2332</v>
      </c>
      <c r="F278" s="85" t="str">
        <f>HYPERLINK("https://drive.google.com/file/d/1jkZqOH0DkKkXa0EmqVOg7qiNNf97gGr5/view?usp=drivesdk","https://drive.google.com/file/d/1jkZqOH0DkKkXa0EmqVOg7qiNNf97gGr5/view?usp=drivesdk")</f>
        <v>https://drive.google.com/file/d/1jkZqOH0DkKkXa0EmqVOg7qiNNf97gGr5/view?usp=drivesdk</v>
      </c>
      <c r="G278" s="7" t="s">
        <v>2333</v>
      </c>
      <c r="H278" s="95" t="s">
        <v>3203</v>
      </c>
      <c r="I278" s="10"/>
      <c r="J278" s="8">
        <v>10.6</v>
      </c>
      <c r="K278" s="8">
        <v>1747</v>
      </c>
      <c r="L278" s="11" t="s">
        <v>2334</v>
      </c>
      <c r="M278" s="39" t="s">
        <v>265</v>
      </c>
      <c r="N278" s="39" t="s">
        <v>265</v>
      </c>
      <c r="O278" s="39" t="s">
        <v>265</v>
      </c>
    </row>
    <row r="279" spans="1:15" ht="27" customHeight="1">
      <c r="A279" s="5">
        <v>44829</v>
      </c>
      <c r="B279" s="19" t="s">
        <v>1678</v>
      </c>
      <c r="C279" s="23" t="s">
        <v>1336</v>
      </c>
      <c r="D279" s="7" t="s">
        <v>2327</v>
      </c>
      <c r="E279" s="103" t="s">
        <v>2328</v>
      </c>
      <c r="F279" s="85" t="str">
        <f>HYPERLINK("https://drive.google.com/file/d/1gHE9nt3xgfmRm2C9pdODy_UMx2WgkyWJ/view?usp=drivesdk","https://drive.google.com/file/d/1gHE9nt3xgfmRm2C9pdODy_UMx2WgkyWJ/view?usp=drivesdk")</f>
        <v>https://drive.google.com/file/d/1gHE9nt3xgfmRm2C9pdODy_UMx2WgkyWJ/view?usp=drivesdk</v>
      </c>
      <c r="G279" s="7" t="s">
        <v>2329</v>
      </c>
      <c r="H279" s="95" t="s">
        <v>3202</v>
      </c>
      <c r="I279" s="10"/>
      <c r="J279" s="8">
        <v>29.3</v>
      </c>
      <c r="K279" s="8">
        <v>1909</v>
      </c>
      <c r="L279" s="11" t="s">
        <v>2330</v>
      </c>
      <c r="M279" s="39" t="s">
        <v>265</v>
      </c>
      <c r="N279" s="39" t="s">
        <v>265</v>
      </c>
      <c r="O279" s="39" t="s">
        <v>265</v>
      </c>
    </row>
    <row r="280" spans="1:15" ht="27" customHeight="1">
      <c r="A280" s="5">
        <v>44828</v>
      </c>
      <c r="B280" s="18" t="s">
        <v>15</v>
      </c>
      <c r="C280" s="23" t="s">
        <v>16</v>
      </c>
      <c r="D280" s="7" t="s">
        <v>1224</v>
      </c>
      <c r="E280" s="103" t="s">
        <v>2325</v>
      </c>
      <c r="F280" s="85" t="str">
        <f>HYPERLINK("https://drive.google.com/file/d/1oWrM6ZgtwrH8mIcDDOE4Zot3Wf7PSYbw/view?usp=drivesdk","https://drive.google.com/file/d/1oWrM6ZgtwrH8mIcDDOE4Zot3Wf7PSYbw/view?usp=drivesdk")</f>
        <v>https://drive.google.com/file/d/1oWrM6ZgtwrH8mIcDDOE4Zot3Wf7PSYbw/view?usp=drivesdk</v>
      </c>
      <c r="G280" s="7" t="s">
        <v>2326</v>
      </c>
      <c r="H280" s="95" t="s">
        <v>3202</v>
      </c>
      <c r="I280" s="10"/>
      <c r="J280" s="8">
        <v>103.2</v>
      </c>
      <c r="K280" s="8">
        <v>2006</v>
      </c>
      <c r="L280" s="11" t="s">
        <v>1156</v>
      </c>
      <c r="M280" s="39" t="s">
        <v>22</v>
      </c>
      <c r="N280" s="43" t="s">
        <v>675</v>
      </c>
      <c r="O280" s="43" t="s">
        <v>879</v>
      </c>
    </row>
    <row r="281" spans="1:15" ht="27" customHeight="1">
      <c r="A281" s="5">
        <v>44821</v>
      </c>
      <c r="B281" s="19" t="s">
        <v>1678</v>
      </c>
      <c r="C281" s="23" t="s">
        <v>1336</v>
      </c>
      <c r="D281" s="7" t="s">
        <v>2322</v>
      </c>
      <c r="E281" s="103" t="s">
        <v>2323</v>
      </c>
      <c r="F281" s="85" t="str">
        <f>HYPERLINK("https://drive.google.com/file/d/1GohR4KVCoXuFqN5_kCxqbjAV4m4cxUFj/view?usp=drivesdk","https://drive.google.com/file/d/1GohR4KVCoXuFqN5_kCxqbjAV4m4cxUFj/view?usp=drivesdk")</f>
        <v>https://drive.google.com/file/d/1GohR4KVCoXuFqN5_kCxqbjAV4m4cxUFj/view?usp=drivesdk</v>
      </c>
      <c r="G281" s="7" t="s">
        <v>2324</v>
      </c>
      <c r="H281" s="95" t="s">
        <v>3234</v>
      </c>
      <c r="I281" s="10"/>
      <c r="J281" s="8">
        <v>17</v>
      </c>
      <c r="K281" s="8">
        <v>1472</v>
      </c>
      <c r="L281" s="11" t="s">
        <v>2214</v>
      </c>
      <c r="M281" s="39" t="s">
        <v>265</v>
      </c>
      <c r="N281" s="39" t="s">
        <v>265</v>
      </c>
      <c r="O281" s="39" t="s">
        <v>265</v>
      </c>
    </row>
    <row r="282" spans="1:15">
      <c r="A282" s="5">
        <v>44814</v>
      </c>
      <c r="B282" s="18" t="s">
        <v>15</v>
      </c>
      <c r="C282" s="23" t="s">
        <v>16</v>
      </c>
      <c r="D282" s="7" t="s">
        <v>2319</v>
      </c>
      <c r="E282" s="103" t="s">
        <v>2320</v>
      </c>
      <c r="F282" s="85" t="str">
        <f>HYPERLINK("https://drive.google.com/file/d/1TBCbV4c6xBMnS5QOX-rZuMOQmQg-a0cG/view?usp=drivesdk","https://drive.google.com/file/d/1TBCbV4c6xBMnS5QOX-rZuMOQmQg-a0cG/view?usp=drivesdk")</f>
        <v>https://drive.google.com/file/d/1TBCbV4c6xBMnS5QOX-rZuMOQmQg-a0cG/view?usp=drivesdk</v>
      </c>
      <c r="G282" s="7" t="s">
        <v>2321</v>
      </c>
      <c r="H282" s="95" t="s">
        <v>3299</v>
      </c>
      <c r="I282" s="10"/>
      <c r="J282" s="8">
        <v>100.7</v>
      </c>
      <c r="K282" s="8">
        <v>1042</v>
      </c>
      <c r="L282" s="11" t="s">
        <v>2084</v>
      </c>
      <c r="M282" s="39" t="s">
        <v>22</v>
      </c>
      <c r="N282" s="43" t="s">
        <v>675</v>
      </c>
      <c r="O282" s="43" t="s">
        <v>879</v>
      </c>
    </row>
    <row r="283" spans="1:15">
      <c r="A283" s="5">
        <v>44808</v>
      </c>
      <c r="B283" s="19" t="s">
        <v>1678</v>
      </c>
      <c r="C283" s="23" t="s">
        <v>1336</v>
      </c>
      <c r="D283" s="7" t="s">
        <v>2316</v>
      </c>
      <c r="E283" s="103" t="s">
        <v>2317</v>
      </c>
      <c r="F283" s="85" t="str">
        <f>HYPERLINK("https://drive.google.com/file/d/15UvM8V_wVvAFpdoxUmPGNpTfhtpxnfH5/view?usp=drivesdk","https://drive.google.com/file/d/15UvM8V_wVvAFpdoxUmPGNpTfhtpxnfH5/view?usp=drivesdk")</f>
        <v>https://drive.google.com/file/d/15UvM8V_wVvAFpdoxUmPGNpTfhtpxnfH5/view?usp=drivesdk</v>
      </c>
      <c r="G283" s="7" t="s">
        <v>2237</v>
      </c>
      <c r="H283" s="95" t="s">
        <v>3203</v>
      </c>
      <c r="I283" s="10"/>
      <c r="J283" s="8">
        <v>33.299999999999997</v>
      </c>
      <c r="K283" s="8">
        <v>1797</v>
      </c>
      <c r="L283" s="11" t="s">
        <v>2318</v>
      </c>
      <c r="M283" s="39" t="s">
        <v>265</v>
      </c>
      <c r="N283" s="39" t="s">
        <v>265</v>
      </c>
      <c r="O283" s="38" t="s">
        <v>265</v>
      </c>
    </row>
    <row r="284" spans="1:15" ht="27">
      <c r="A284" s="5">
        <v>44802</v>
      </c>
      <c r="B284" s="19" t="s">
        <v>1678</v>
      </c>
      <c r="C284" s="23" t="s">
        <v>1336</v>
      </c>
      <c r="D284" s="7" t="s">
        <v>2312</v>
      </c>
      <c r="E284" s="103" t="s">
        <v>2313</v>
      </c>
      <c r="F284" s="85" t="str">
        <f>HYPERLINK("https://drive.google.com/file/d/16gZOrpjanJGH3tCo161RZSkRclVnfZmP/view?usp=drivesdk","https://drive.google.com/file/d/16gZOrpjanJGH3tCo161RZSkRclVnfZmP/view?usp=drivesdk")</f>
        <v>https://drive.google.com/file/d/16gZOrpjanJGH3tCo161RZSkRclVnfZmP/view?usp=drivesdk</v>
      </c>
      <c r="G284" s="7" t="s">
        <v>2314</v>
      </c>
      <c r="H284" s="95" t="s">
        <v>3291</v>
      </c>
      <c r="I284" s="10" t="s">
        <v>1886</v>
      </c>
      <c r="J284" s="8">
        <v>13.1</v>
      </c>
      <c r="K284" s="8">
        <v>198</v>
      </c>
      <c r="L284" s="11" t="s">
        <v>2315</v>
      </c>
      <c r="M284" s="39" t="s">
        <v>265</v>
      </c>
      <c r="N284" s="39" t="s">
        <v>265</v>
      </c>
      <c r="O284" s="39" t="s">
        <v>265</v>
      </c>
    </row>
    <row r="285" spans="1:15" ht="40.5">
      <c r="A285" s="5">
        <v>44801</v>
      </c>
      <c r="B285" s="19" t="s">
        <v>1678</v>
      </c>
      <c r="C285" s="23" t="s">
        <v>1336</v>
      </c>
      <c r="D285" s="7" t="s">
        <v>2308</v>
      </c>
      <c r="E285" s="103" t="s">
        <v>2309</v>
      </c>
      <c r="F285" s="85" t="str">
        <f>HYPERLINK("https://drive.google.com/file/d/1SjwoEgGojyN6F182J-ieZlDd5Hl2V6JS/view?usp=drivesdk","https://drive.google.com/file/d/1SjwoEgGojyN6F182J-ieZlDd5Hl2V6JS/view?usp=drivesdk")</f>
        <v>https://drive.google.com/file/d/1SjwoEgGojyN6F182J-ieZlDd5Hl2V6JS/view?usp=drivesdk</v>
      </c>
      <c r="G285" s="7" t="s">
        <v>2310</v>
      </c>
      <c r="H285" s="95" t="s">
        <v>3202</v>
      </c>
      <c r="I285" s="10" t="s">
        <v>1886</v>
      </c>
      <c r="J285" s="8">
        <v>11.1</v>
      </c>
      <c r="K285" s="8">
        <v>904</v>
      </c>
      <c r="L285" s="11" t="s">
        <v>2311</v>
      </c>
      <c r="M285" s="39" t="s">
        <v>265</v>
      </c>
      <c r="N285" s="39" t="s">
        <v>265</v>
      </c>
      <c r="O285" s="38" t="s">
        <v>265</v>
      </c>
    </row>
    <row r="286" spans="1:15" ht="27" customHeight="1">
      <c r="A286" s="5">
        <v>44800</v>
      </c>
      <c r="B286" s="19" t="s">
        <v>1678</v>
      </c>
      <c r="C286" s="23" t="s">
        <v>1336</v>
      </c>
      <c r="D286" s="7" t="s">
        <v>2304</v>
      </c>
      <c r="E286" s="103" t="s">
        <v>2305</v>
      </c>
      <c r="F286" s="85" t="str">
        <f>HYPERLINK("https://drive.google.com/file/d/1euWHn5MqKmKvc4ITStElTAcEyAt8NF3Y/view?usp=drivesdk","https://drive.google.com/file/d/1euWHn5MqKmKvc4ITStElTAcEyAt8NF3Y/view?usp=drivesdk")</f>
        <v>https://drive.google.com/file/d/1euWHn5MqKmKvc4ITStElTAcEyAt8NF3Y/view?usp=drivesdk</v>
      </c>
      <c r="G286" s="7" t="s">
        <v>2306</v>
      </c>
      <c r="H286" s="95" t="s">
        <v>3202</v>
      </c>
      <c r="I286" s="10" t="s">
        <v>1886</v>
      </c>
      <c r="J286" s="8">
        <v>8.8000000000000007</v>
      </c>
      <c r="K286" s="8">
        <v>807</v>
      </c>
      <c r="L286" s="11" t="s">
        <v>2307</v>
      </c>
      <c r="M286" s="39" t="s">
        <v>265</v>
      </c>
      <c r="N286" s="39" t="s">
        <v>265</v>
      </c>
      <c r="O286" s="39" t="s">
        <v>265</v>
      </c>
    </row>
    <row r="287" spans="1:15" ht="18.75" customHeight="1">
      <c r="A287" s="5">
        <v>44799</v>
      </c>
      <c r="B287" s="19" t="s">
        <v>1678</v>
      </c>
      <c r="C287" s="23" t="s">
        <v>1336</v>
      </c>
      <c r="D287" s="7" t="s">
        <v>2296</v>
      </c>
      <c r="E287" s="66" t="s">
        <v>2297</v>
      </c>
      <c r="F287" s="85" t="str">
        <f>HYPERLINK("https://drive.google.com/file/d/1P78-_1DJRchNAwVSm4ofnwXQWrhaIt5X/view?usp=drivesdk","https://drive.google.com/file/d/1P78-_1DJRchNAwVSm4ofnwXQWrhaIt5X/view?usp=drivesdk")</f>
        <v>https://drive.google.com/file/d/1P78-_1DJRchNAwVSm4ofnwXQWrhaIt5X/view?usp=drivesdk</v>
      </c>
      <c r="G287" s="7" t="s">
        <v>2298</v>
      </c>
      <c r="H287" s="95" t="s">
        <v>3202</v>
      </c>
      <c r="I287" s="10" t="s">
        <v>1886</v>
      </c>
      <c r="J287" s="8">
        <v>4.2</v>
      </c>
      <c r="K287" s="8">
        <v>1346</v>
      </c>
      <c r="L287" s="11" t="s">
        <v>2299</v>
      </c>
      <c r="M287" s="39" t="s">
        <v>265</v>
      </c>
      <c r="N287" s="39" t="s">
        <v>265</v>
      </c>
      <c r="O287" s="38" t="s">
        <v>265</v>
      </c>
    </row>
    <row r="288" spans="1:15" ht="27">
      <c r="A288" s="5">
        <v>44799</v>
      </c>
      <c r="B288" s="19" t="s">
        <v>1678</v>
      </c>
      <c r="C288" s="23" t="s">
        <v>1336</v>
      </c>
      <c r="D288" s="7" t="s">
        <v>2300</v>
      </c>
      <c r="E288" s="66" t="s">
        <v>2301</v>
      </c>
      <c r="F288" s="85" t="str">
        <f>HYPERLINK("https://drive.google.com/file/d/10Ia2PS_H8y30Gj1bQ-3mSjZQr-htsBTR/view?usp=drivesdk","https://drive.google.com/file/d/10Ia2PS_H8y30Gj1bQ-3mSjZQr-htsBTR/view?usp=drivesdk")</f>
        <v>https://drive.google.com/file/d/10Ia2PS_H8y30Gj1bQ-3mSjZQr-htsBTR/view?usp=drivesdk</v>
      </c>
      <c r="G288" s="7" t="s">
        <v>2302</v>
      </c>
      <c r="H288" s="95" t="s">
        <v>3202</v>
      </c>
      <c r="I288" s="10" t="s">
        <v>1886</v>
      </c>
      <c r="J288" s="8">
        <v>2.2999999999999998</v>
      </c>
      <c r="K288" s="8">
        <v>242</v>
      </c>
      <c r="L288" s="11" t="s">
        <v>2303</v>
      </c>
      <c r="M288" s="39" t="s">
        <v>265</v>
      </c>
      <c r="N288" s="39" t="s">
        <v>265</v>
      </c>
      <c r="O288" s="39" t="s">
        <v>265</v>
      </c>
    </row>
    <row r="289" spans="1:15" ht="27" customHeight="1">
      <c r="A289" s="5">
        <v>44793</v>
      </c>
      <c r="B289" s="18" t="s">
        <v>15</v>
      </c>
      <c r="C289" s="23" t="s">
        <v>16</v>
      </c>
      <c r="D289" s="7" t="s">
        <v>2292</v>
      </c>
      <c r="E289" s="103" t="s">
        <v>2293</v>
      </c>
      <c r="F289" s="85" t="str">
        <f>HYPERLINK("https://drive.google.com/file/d/1m2SEWVQzBckQr3XYezQJdm34ELSPotij/view?usp=drivesdk","https://drive.google.com/file/d/1m2SEWVQzBckQr3XYezQJdm34ELSPotij/view?usp=drivesdk")</f>
        <v>https://drive.google.com/file/d/1m2SEWVQzBckQr3XYezQJdm34ELSPotij/view?usp=drivesdk</v>
      </c>
      <c r="G289" s="7" t="s">
        <v>2294</v>
      </c>
      <c r="H289" s="95" t="s">
        <v>3292</v>
      </c>
      <c r="I289" s="10"/>
      <c r="J289" s="8">
        <v>98.9</v>
      </c>
      <c r="K289" s="8">
        <v>2187</v>
      </c>
      <c r="L289" s="11" t="s">
        <v>2295</v>
      </c>
      <c r="M289" s="39" t="s">
        <v>22</v>
      </c>
      <c r="N289" s="43" t="s">
        <v>675</v>
      </c>
      <c r="O289" s="42" t="s">
        <v>879</v>
      </c>
    </row>
    <row r="290" spans="1:15">
      <c r="A290" s="5">
        <v>44787</v>
      </c>
      <c r="B290" s="18" t="s">
        <v>15</v>
      </c>
      <c r="C290" s="23" t="s">
        <v>16</v>
      </c>
      <c r="D290" s="7" t="s">
        <v>2288</v>
      </c>
      <c r="E290" s="103" t="s">
        <v>2289</v>
      </c>
      <c r="F290" s="85" t="str">
        <f>HYPERLINK("https://drive.google.com/file/d/12RNZtUVX5OeX9JE_izbxanDIOT008SYN/view?usp=drivesdk","https://drive.google.com/file/d/12RNZtUVX5OeX9JE_izbxanDIOT008SYN/view?usp=drivesdk")</f>
        <v>https://drive.google.com/file/d/12RNZtUVX5OeX9JE_izbxanDIOT008SYN/view?usp=drivesdk</v>
      </c>
      <c r="G290" s="7" t="s">
        <v>2290</v>
      </c>
      <c r="H290" s="95" t="s">
        <v>3205</v>
      </c>
      <c r="I290" s="10"/>
      <c r="J290" s="8">
        <v>100.6</v>
      </c>
      <c r="K290" s="8">
        <v>1591</v>
      </c>
      <c r="L290" s="11" t="s">
        <v>2291</v>
      </c>
      <c r="M290" s="39" t="s">
        <v>22</v>
      </c>
      <c r="N290" s="43" t="s">
        <v>675</v>
      </c>
      <c r="O290" s="43" t="s">
        <v>879</v>
      </c>
    </row>
    <row r="291" spans="1:15" ht="27" customHeight="1">
      <c r="A291" s="5">
        <v>44780</v>
      </c>
      <c r="B291" s="6" t="s">
        <v>246</v>
      </c>
      <c r="C291" s="23" t="s">
        <v>1336</v>
      </c>
      <c r="D291" s="7" t="s">
        <v>1883</v>
      </c>
      <c r="E291" s="66" t="s">
        <v>2285</v>
      </c>
      <c r="F291" s="85" t="str">
        <f>HYPERLINK("https://drive.google.com/file/d/1IRYIiG_FhDBe3pnRlOeA8KwVrwftj4_8/view?usp=drivesdk","https://drive.google.com/file/d/1IRYIiG_FhDBe3pnRlOeA8KwVrwftj4_8/view?usp=drivesdk")</f>
        <v>https://drive.google.com/file/d/1IRYIiG_FhDBe3pnRlOeA8KwVrwftj4_8/view?usp=drivesdk</v>
      </c>
      <c r="G291" s="7" t="s">
        <v>2286</v>
      </c>
      <c r="H291" s="95" t="s">
        <v>3202</v>
      </c>
      <c r="I291" s="10" t="s">
        <v>1886</v>
      </c>
      <c r="J291" s="8">
        <v>36.299999999999997</v>
      </c>
      <c r="K291" s="8">
        <v>1903</v>
      </c>
      <c r="L291" s="11" t="s">
        <v>2287</v>
      </c>
      <c r="M291" s="39" t="s">
        <v>1896</v>
      </c>
      <c r="N291" s="43" t="s">
        <v>675</v>
      </c>
      <c r="O291" s="42" t="s">
        <v>1897</v>
      </c>
    </row>
    <row r="292" spans="1:15" ht="13.5">
      <c r="A292" s="5">
        <v>44779</v>
      </c>
      <c r="B292" s="18" t="s">
        <v>15</v>
      </c>
      <c r="C292" s="23" t="s">
        <v>16</v>
      </c>
      <c r="D292" s="7" t="s">
        <v>276</v>
      </c>
      <c r="E292" s="103" t="s">
        <v>2284</v>
      </c>
      <c r="F292" s="85" t="str">
        <f>HYPERLINK("https://drive.google.com/file/d/1MqEDbqyj3ZcrhugmyTclJ8zAA0rN4Q9o/view?usp=drivesdk","https://drive.google.com/file/d/1MqEDbqyj3ZcrhugmyTclJ8zAA0rN4Q9o/view?usp=drivesdk")</f>
        <v>https://drive.google.com/file/d/1MqEDbqyj3ZcrhugmyTclJ8zAA0rN4Q9o/view?usp=drivesdk</v>
      </c>
      <c r="G292" s="7" t="s">
        <v>383</v>
      </c>
      <c r="H292" s="95" t="s">
        <v>3202</v>
      </c>
      <c r="I292" s="23" t="s">
        <v>276</v>
      </c>
      <c r="J292" s="8">
        <v>35.1</v>
      </c>
      <c r="K292" s="8">
        <v>1472</v>
      </c>
      <c r="L292" s="11">
        <v>0.1854166666666667</v>
      </c>
      <c r="M292" s="39" t="s">
        <v>22</v>
      </c>
      <c r="N292" s="43" t="s">
        <v>675</v>
      </c>
      <c r="O292" s="42" t="s">
        <v>879</v>
      </c>
    </row>
    <row r="293" spans="1:15">
      <c r="A293" s="5">
        <v>44773</v>
      </c>
      <c r="B293" s="18" t="s">
        <v>15</v>
      </c>
      <c r="C293" s="23" t="s">
        <v>16</v>
      </c>
      <c r="D293" s="7" t="s">
        <v>2281</v>
      </c>
      <c r="E293" s="103" t="s">
        <v>2282</v>
      </c>
      <c r="F293" s="85" t="str">
        <f>HYPERLINK("https://drive.google.com/file/d/1Hc2dAB9F5DQ-ueor5bRI0QeJBsqWDiD7/view?usp=drivesdk","https://drive.google.com/file/d/1Hc2dAB9F5DQ-ueor5bRI0QeJBsqWDiD7/view?usp=drivesdk")</f>
        <v>https://drive.google.com/file/d/1Hc2dAB9F5DQ-ueor5bRI0QeJBsqWDiD7/view?usp=drivesdk</v>
      </c>
      <c r="G293" s="7" t="s">
        <v>2283</v>
      </c>
      <c r="H293" s="95" t="s">
        <v>3242</v>
      </c>
      <c r="I293" s="10"/>
      <c r="J293" s="8">
        <v>78.099999999999994</v>
      </c>
      <c r="K293" s="8">
        <v>1549</v>
      </c>
      <c r="L293" s="11" t="s">
        <v>980</v>
      </c>
      <c r="M293" s="39" t="s">
        <v>22</v>
      </c>
      <c r="N293" s="43" t="s">
        <v>675</v>
      </c>
      <c r="O293" s="43" t="s">
        <v>879</v>
      </c>
    </row>
    <row r="294" spans="1:15" ht="27" customHeight="1">
      <c r="A294" s="5">
        <v>44765</v>
      </c>
      <c r="B294" s="6" t="s">
        <v>246</v>
      </c>
      <c r="C294" s="23" t="s">
        <v>1336</v>
      </c>
      <c r="D294" s="7" t="s">
        <v>2277</v>
      </c>
      <c r="E294" s="103" t="s">
        <v>2278</v>
      </c>
      <c r="F294" s="85" t="str">
        <f>HYPERLINK("https://drive.google.com/file/d/1x--kHseQaRZ-vfTYppKAp9A_KeJ5wkMV/view?usp=drivesdk","https://drive.google.com/file/d/1x--kHseQaRZ-vfTYppKAp9A_KeJ5wkMV/view?usp=drivesdk")</f>
        <v>https://drive.google.com/file/d/1x--kHseQaRZ-vfTYppKAp9A_KeJ5wkMV/view?usp=drivesdk</v>
      </c>
      <c r="G294" s="7" t="s">
        <v>2279</v>
      </c>
      <c r="H294" s="95" t="s">
        <v>3225</v>
      </c>
      <c r="I294" s="21" t="s">
        <v>1939</v>
      </c>
      <c r="J294" s="8">
        <v>55.3</v>
      </c>
      <c r="K294" s="8">
        <v>3725</v>
      </c>
      <c r="L294" s="11" t="s">
        <v>2280</v>
      </c>
      <c r="M294" s="39" t="s">
        <v>1896</v>
      </c>
      <c r="N294" s="43" t="s">
        <v>675</v>
      </c>
      <c r="O294" s="43" t="s">
        <v>1897</v>
      </c>
    </row>
    <row r="295" spans="1:15">
      <c r="A295" s="5">
        <v>44760</v>
      </c>
      <c r="B295" s="18" t="s">
        <v>15</v>
      </c>
      <c r="C295" s="23" t="s">
        <v>16</v>
      </c>
      <c r="D295" s="7" t="s">
        <v>218</v>
      </c>
      <c r="E295" s="66" t="s">
        <v>2275</v>
      </c>
      <c r="F295" s="85" t="str">
        <f>HYPERLINK("https://drive.google.com/file/d/1T09Cwt0kItnubSoHhm3muZ1ZEXHDkING/view?usp=drivesdk","https://drive.google.com/file/d/1T09Cwt0kItnubSoHhm3muZ1ZEXHDkING/view?usp=drivesdk")</f>
        <v>https://drive.google.com/file/d/1T09Cwt0kItnubSoHhm3muZ1ZEXHDkING/view?usp=drivesdk</v>
      </c>
      <c r="G295" s="7" t="s">
        <v>218</v>
      </c>
      <c r="H295" s="73" t="s">
        <v>222</v>
      </c>
      <c r="I295" s="10"/>
      <c r="J295" s="8">
        <v>103.6</v>
      </c>
      <c r="K295" s="8">
        <v>625</v>
      </c>
      <c r="L295" s="11" t="s">
        <v>2276</v>
      </c>
      <c r="M295" s="39" t="s">
        <v>22</v>
      </c>
      <c r="N295" s="43" t="s">
        <v>675</v>
      </c>
      <c r="O295" s="43" t="s">
        <v>879</v>
      </c>
    </row>
    <row r="296" spans="1:15" ht="27" customHeight="1">
      <c r="A296" s="5">
        <v>44759</v>
      </c>
      <c r="B296" s="18" t="s">
        <v>15</v>
      </c>
      <c r="C296" s="23" t="s">
        <v>16</v>
      </c>
      <c r="D296" s="7" t="s">
        <v>32</v>
      </c>
      <c r="E296" s="103" t="s">
        <v>2272</v>
      </c>
      <c r="F296" s="85" t="str">
        <f>HYPERLINK("https://drive.google.com/file/d/1kQ_rmDHD23jKpaHRPQVtk0nJn6nkOthU/view?usp=drivesdk","https://drive.google.com/file/d/1kQ_rmDHD23jKpaHRPQVtk0nJn6nkOthU/view?usp=drivesdk")</f>
        <v>https://drive.google.com/file/d/1kQ_rmDHD23jKpaHRPQVtk0nJn6nkOthU/view?usp=drivesdk</v>
      </c>
      <c r="G296" s="7" t="s">
        <v>2273</v>
      </c>
      <c r="H296" s="73" t="s">
        <v>222</v>
      </c>
      <c r="I296" s="10"/>
      <c r="J296" s="8">
        <v>85.7</v>
      </c>
      <c r="K296" s="8">
        <v>328</v>
      </c>
      <c r="L296" s="11" t="s">
        <v>2274</v>
      </c>
      <c r="M296" s="39" t="s">
        <v>102</v>
      </c>
      <c r="N296" s="43" t="s">
        <v>194</v>
      </c>
      <c r="O296" s="43" t="s">
        <v>195</v>
      </c>
    </row>
    <row r="297" spans="1:15" ht="40.5">
      <c r="A297" s="5">
        <v>44751</v>
      </c>
      <c r="B297" s="18" t="s">
        <v>15</v>
      </c>
      <c r="C297" s="23" t="s">
        <v>16</v>
      </c>
      <c r="D297" s="7" t="s">
        <v>2269</v>
      </c>
      <c r="E297" s="103" t="s">
        <v>2270</v>
      </c>
      <c r="F297" s="85" t="str">
        <f>HYPERLINK("https://drive.google.com/file/d/1FvyxNi-z2fcUhnJ57iMIEAFZY_-M4qTa/view?usp=drivesdk","https://drive.google.com/file/d/1FvyxNi-z2fcUhnJ57iMIEAFZY_-M4qTa/view?usp=drivesdk")</f>
        <v>https://drive.google.com/file/d/1FvyxNi-z2fcUhnJ57iMIEAFZY_-M4qTa/view?usp=drivesdk</v>
      </c>
      <c r="G297" s="7" t="s">
        <v>2271</v>
      </c>
      <c r="H297" s="95" t="s">
        <v>3224</v>
      </c>
      <c r="I297" s="10"/>
      <c r="J297" s="8">
        <v>71.599999999999994</v>
      </c>
      <c r="K297" s="8">
        <v>2466</v>
      </c>
      <c r="L297" s="11" t="s">
        <v>2187</v>
      </c>
      <c r="M297" s="39" t="s">
        <v>22</v>
      </c>
      <c r="N297" s="43" t="s">
        <v>675</v>
      </c>
      <c r="O297" s="42" t="s">
        <v>1584</v>
      </c>
    </row>
    <row r="298" spans="1:15" ht="18.75" customHeight="1">
      <c r="A298" s="5">
        <v>44745</v>
      </c>
      <c r="B298" s="19" t="s">
        <v>1678</v>
      </c>
      <c r="C298" s="23" t="s">
        <v>1336</v>
      </c>
      <c r="D298" s="7" t="s">
        <v>2266</v>
      </c>
      <c r="E298" s="66" t="s">
        <v>2267</v>
      </c>
      <c r="F298" s="85" t="str">
        <f>HYPERLINK("https://drive.google.com/file/d/17-tPzZZKLQBaGDqdpmCMLDz-NhZbAaoj/view?usp=drivesdk","https://drive.google.com/file/d/17-tPzZZKLQBaGDqdpmCMLDz-NhZbAaoj/view?usp=drivesdk")</f>
        <v>https://drive.google.com/file/d/17-tPzZZKLQBaGDqdpmCMLDz-NhZbAaoj/view?usp=drivesdk</v>
      </c>
      <c r="G298" s="7" t="s">
        <v>2268</v>
      </c>
      <c r="H298" s="95" t="s">
        <v>3202</v>
      </c>
      <c r="I298" s="10" t="s">
        <v>1886</v>
      </c>
      <c r="J298" s="8">
        <v>19.7</v>
      </c>
      <c r="K298" s="8">
        <v>421</v>
      </c>
      <c r="L298" s="11" t="s">
        <v>2072</v>
      </c>
      <c r="M298" s="39" t="s">
        <v>265</v>
      </c>
      <c r="N298" s="39" t="s">
        <v>265</v>
      </c>
      <c r="O298" s="38" t="s">
        <v>265</v>
      </c>
    </row>
    <row r="299" spans="1:15" ht="18.75" customHeight="1">
      <c r="A299" s="5">
        <v>44744</v>
      </c>
      <c r="B299" s="19" t="s">
        <v>1678</v>
      </c>
      <c r="C299" s="23" t="s">
        <v>1336</v>
      </c>
      <c r="D299" s="7" t="s">
        <v>2262</v>
      </c>
      <c r="E299" s="66" t="s">
        <v>2263</v>
      </c>
      <c r="F299" s="85" t="str">
        <f>HYPERLINK("https://drive.google.com/file/d/1vv9s2aSTGDXHg7jubOyYla5nVsWCbAQz/view?usp=drivesdk","https://drive.google.com/file/d/1vv9s2aSTGDXHg7jubOyYla5nVsWCbAQz/view?usp=drivesdk")</f>
        <v>https://drive.google.com/file/d/1vv9s2aSTGDXHg7jubOyYla5nVsWCbAQz/view?usp=drivesdk</v>
      </c>
      <c r="G299" s="7" t="s">
        <v>2264</v>
      </c>
      <c r="H299" s="95" t="s">
        <v>3202</v>
      </c>
      <c r="I299" s="10" t="s">
        <v>1886</v>
      </c>
      <c r="J299" s="8">
        <v>10.6</v>
      </c>
      <c r="K299" s="8">
        <v>720</v>
      </c>
      <c r="L299" s="11" t="s">
        <v>2265</v>
      </c>
      <c r="M299" s="39" t="s">
        <v>265</v>
      </c>
      <c r="N299" s="39" t="s">
        <v>265</v>
      </c>
      <c r="O299" s="38" t="s">
        <v>265</v>
      </c>
    </row>
    <row r="300" spans="1:15" ht="27" customHeight="1">
      <c r="A300" s="5">
        <v>44743</v>
      </c>
      <c r="B300" s="19" t="s">
        <v>1678</v>
      </c>
      <c r="C300" s="23" t="s">
        <v>1336</v>
      </c>
      <c r="D300" s="7" t="s">
        <v>2259</v>
      </c>
      <c r="E300" s="103" t="s">
        <v>2260</v>
      </c>
      <c r="F300" s="85" t="str">
        <f>HYPERLINK("https://drive.google.com/file/d/1-cnODFm0Fpkh0q0vheeJs6blQh-dSTXz/view?usp=drivesdk","https://drive.google.com/file/d/1-cnODFm0Fpkh0q0vheeJs6blQh-dSTXz/view?usp=drivesdk")</f>
        <v>https://drive.google.com/file/d/1-cnODFm0Fpkh0q0vheeJs6blQh-dSTXz/view?usp=drivesdk</v>
      </c>
      <c r="G300" s="7" t="s">
        <v>2261</v>
      </c>
      <c r="H300" s="95" t="s">
        <v>3202</v>
      </c>
      <c r="I300" s="10" t="s">
        <v>1886</v>
      </c>
      <c r="J300" s="8">
        <v>7.2</v>
      </c>
      <c r="K300" s="8">
        <v>1487</v>
      </c>
      <c r="L300" s="11" t="s">
        <v>2250</v>
      </c>
      <c r="M300" s="39" t="s">
        <v>265</v>
      </c>
      <c r="N300" s="39" t="s">
        <v>265</v>
      </c>
      <c r="O300" s="38" t="s">
        <v>265</v>
      </c>
    </row>
    <row r="301" spans="1:15" ht="18.75" customHeight="1">
      <c r="A301" s="5">
        <v>44737</v>
      </c>
      <c r="B301" s="19" t="s">
        <v>1678</v>
      </c>
      <c r="C301" s="23" t="s">
        <v>1336</v>
      </c>
      <c r="D301" s="7" t="s">
        <v>2256</v>
      </c>
      <c r="E301" s="66" t="s">
        <v>2257</v>
      </c>
      <c r="F301" s="85" t="str">
        <f>HYPERLINK("https://drive.google.com/file/d/1qUachwOjLoVAlkhY4uq59qmz8B9P3_fU/view?usp=drivesdk","https://drive.google.com/file/d/1qUachwOjLoVAlkhY4uq59qmz8B9P3_fU/view?usp=drivesdk")</f>
        <v>https://drive.google.com/file/d/1qUachwOjLoVAlkhY4uq59qmz8B9P3_fU/view?usp=drivesdk</v>
      </c>
      <c r="G301" s="7" t="s">
        <v>2258</v>
      </c>
      <c r="H301" s="73" t="s">
        <v>3293</v>
      </c>
      <c r="I301" s="10"/>
      <c r="J301" s="8">
        <v>15</v>
      </c>
      <c r="K301" s="8">
        <v>1352</v>
      </c>
      <c r="L301" s="11" t="s">
        <v>1975</v>
      </c>
      <c r="M301" s="39" t="s">
        <v>265</v>
      </c>
      <c r="N301" s="39" t="s">
        <v>265</v>
      </c>
      <c r="O301" s="38" t="s">
        <v>265</v>
      </c>
    </row>
    <row r="302" spans="1:15" ht="18.75" customHeight="1">
      <c r="A302" s="5">
        <v>44730</v>
      </c>
      <c r="B302" s="18" t="s">
        <v>15</v>
      </c>
      <c r="C302" s="23" t="s">
        <v>223</v>
      </c>
      <c r="D302" s="7" t="s">
        <v>241</v>
      </c>
      <c r="E302" s="66" t="s">
        <v>2254</v>
      </c>
      <c r="F302" s="85" t="str">
        <f>HYPERLINK("https://drive.google.com/file/d/1haCTAY8uWQlzr6554bJzJofatspHrXuo/view?usp=drivesdk","https://drive.google.com/file/d/1haCTAY8uWQlzr6554bJzJofatspHrXuo/view?usp=drivesdk")</f>
        <v>https://drive.google.com/file/d/1haCTAY8uWQlzr6554bJzJofatspHrXuo/view?usp=drivesdk</v>
      </c>
      <c r="G302" s="7" t="s">
        <v>2255</v>
      </c>
      <c r="H302" s="95" t="s">
        <v>3203</v>
      </c>
      <c r="I302" s="16" t="s">
        <v>244</v>
      </c>
      <c r="J302" s="8">
        <v>85.4</v>
      </c>
      <c r="K302" s="8">
        <v>3152</v>
      </c>
      <c r="L302" s="11" t="s">
        <v>1044</v>
      </c>
      <c r="M302" s="39" t="s">
        <v>1896</v>
      </c>
      <c r="N302" s="43" t="s">
        <v>675</v>
      </c>
      <c r="O302" s="42" t="s">
        <v>1897</v>
      </c>
    </row>
    <row r="303" spans="1:15" ht="18.75" customHeight="1">
      <c r="A303" s="5">
        <v>44728</v>
      </c>
      <c r="B303" s="18" t="s">
        <v>15</v>
      </c>
      <c r="C303" s="23" t="s">
        <v>16</v>
      </c>
      <c r="D303" s="7" t="s">
        <v>2251</v>
      </c>
      <c r="E303" s="66" t="s">
        <v>2252</v>
      </c>
      <c r="F303" s="85" t="str">
        <f>HYPERLINK("https://drive.google.com/file/d/1w8TS8fYO-A9yVHBBclw_xHJDZiH7EVbm/view?usp=drivesdk","https://drive.google.com/file/d/1w8TS8fYO-A9yVHBBclw_xHJDZiH7EVbm/view?usp=drivesdk")</f>
        <v>https://drive.google.com/file/d/1w8TS8fYO-A9yVHBBclw_xHJDZiH7EVbm/view?usp=drivesdk</v>
      </c>
      <c r="G303" s="7" t="s">
        <v>2251</v>
      </c>
      <c r="H303" s="95" t="s">
        <v>3193</v>
      </c>
      <c r="I303" s="10"/>
      <c r="J303" s="8">
        <v>42.6</v>
      </c>
      <c r="K303" s="8">
        <v>601</v>
      </c>
      <c r="L303" s="11" t="s">
        <v>2253</v>
      </c>
      <c r="M303" s="39" t="s">
        <v>102</v>
      </c>
      <c r="N303" s="43" t="s">
        <v>194</v>
      </c>
      <c r="O303" s="42" t="s">
        <v>195</v>
      </c>
    </row>
    <row r="304" spans="1:15" ht="18.75" customHeight="1">
      <c r="A304" s="5">
        <v>44722</v>
      </c>
      <c r="B304" s="19" t="s">
        <v>1678</v>
      </c>
      <c r="C304" s="23" t="s">
        <v>1336</v>
      </c>
      <c r="D304" s="7" t="s">
        <v>2247</v>
      </c>
      <c r="E304" s="66" t="s">
        <v>2248</v>
      </c>
      <c r="F304" s="85" t="str">
        <f>HYPERLINK("https://drive.google.com/file/d/1azPrvPd5vm9NAoFlI4oHREqkiZ20qb7v/view?usp=drivesdk","https://drive.google.com/file/d/1azPrvPd5vm9NAoFlI4oHREqkiZ20qb7v/view?usp=drivesdk")</f>
        <v>https://drive.google.com/file/d/1azPrvPd5vm9NAoFlI4oHREqkiZ20qb7v/view?usp=drivesdk</v>
      </c>
      <c r="G304" s="7" t="s">
        <v>2249</v>
      </c>
      <c r="H304" s="95" t="s">
        <v>3202</v>
      </c>
      <c r="I304" s="10" t="s">
        <v>1886</v>
      </c>
      <c r="J304" s="8">
        <v>11.9</v>
      </c>
      <c r="K304" s="8">
        <v>1474</v>
      </c>
      <c r="L304" s="11" t="s">
        <v>2250</v>
      </c>
      <c r="M304" s="39" t="s">
        <v>265</v>
      </c>
      <c r="N304" s="39" t="s">
        <v>265</v>
      </c>
      <c r="O304" s="38" t="s">
        <v>265</v>
      </c>
    </row>
    <row r="305" spans="1:15" ht="27">
      <c r="A305" s="5">
        <v>44716</v>
      </c>
      <c r="B305" s="19" t="s">
        <v>1678</v>
      </c>
      <c r="C305" s="23" t="s">
        <v>1336</v>
      </c>
      <c r="D305" s="7" t="s">
        <v>2243</v>
      </c>
      <c r="E305" s="103" t="s">
        <v>2244</v>
      </c>
      <c r="F305" s="85" t="str">
        <f>HYPERLINK("https://drive.google.com/file/d/1Pko9bZteMsdzhQ_QIFk3Pbg1gmyl6YEG/view?usp=drivesdk","https://drive.google.com/file/d/1Pko9bZteMsdzhQ_QIFk3Pbg1gmyl6YEG/view?usp=drivesdk")</f>
        <v>https://drive.google.com/file/d/1Pko9bZteMsdzhQ_QIFk3Pbg1gmyl6YEG/view?usp=drivesdk</v>
      </c>
      <c r="G305" s="7" t="s">
        <v>2245</v>
      </c>
      <c r="H305" s="73" t="s">
        <v>320</v>
      </c>
      <c r="I305" s="10"/>
      <c r="J305" s="8">
        <v>50.5</v>
      </c>
      <c r="K305" s="8">
        <v>3489</v>
      </c>
      <c r="L305" s="11" t="s">
        <v>2246</v>
      </c>
      <c r="M305" s="39" t="s">
        <v>265</v>
      </c>
      <c r="N305" s="39" t="s">
        <v>265</v>
      </c>
      <c r="O305" s="38" t="s">
        <v>265</v>
      </c>
    </row>
    <row r="306" spans="1:15" ht="27" customHeight="1">
      <c r="A306" s="5">
        <v>44709</v>
      </c>
      <c r="B306" s="18" t="s">
        <v>246</v>
      </c>
      <c r="C306" s="10" t="s">
        <v>1336</v>
      </c>
      <c r="D306" s="7" t="s">
        <v>2239</v>
      </c>
      <c r="E306" s="103" t="s">
        <v>2240</v>
      </c>
      <c r="F306" s="85" t="str">
        <f>HYPERLINK("https://drive.google.com/file/d/1r8EbpgCHYlaayTtAGQOk47_E2Ih9P3gh/view?usp=drivesdk","https://drive.google.com/file/d/1r8EbpgCHYlaayTtAGQOk47_E2Ih9P3gh/view?usp=drivesdk")</f>
        <v>https://drive.google.com/file/d/1r8EbpgCHYlaayTtAGQOk47_E2Ih9P3gh/view?usp=drivesdk</v>
      </c>
      <c r="G306" s="7" t="s">
        <v>2241</v>
      </c>
      <c r="H306" s="73" t="s">
        <v>222</v>
      </c>
      <c r="I306" s="10"/>
      <c r="J306" s="8">
        <v>19.5</v>
      </c>
      <c r="K306" s="8">
        <v>1691</v>
      </c>
      <c r="L306" s="11" t="s">
        <v>2242</v>
      </c>
      <c r="M306" s="39" t="s">
        <v>1896</v>
      </c>
      <c r="N306" s="43" t="s">
        <v>675</v>
      </c>
      <c r="O306" s="43" t="s">
        <v>1897</v>
      </c>
    </row>
    <row r="307" spans="1:15" ht="27" customHeight="1">
      <c r="A307" s="5">
        <v>44703</v>
      </c>
      <c r="B307" s="18" t="s">
        <v>246</v>
      </c>
      <c r="C307" s="10" t="s">
        <v>1336</v>
      </c>
      <c r="D307" s="7" t="s">
        <v>2235</v>
      </c>
      <c r="E307" s="103" t="s">
        <v>2236</v>
      </c>
      <c r="F307" s="85" t="str">
        <f>HYPERLINK("https://drive.google.com/file/d/1Dxgip809alxBywxLeZKpnvjVLCtRSMca/view?usp=drivesdk","https://drive.google.com/file/d/1Dxgip809alxBywxLeZKpnvjVLCtRSMca/view?usp=drivesdk")</f>
        <v>https://drive.google.com/file/d/1Dxgip809alxBywxLeZKpnvjVLCtRSMca/view?usp=drivesdk</v>
      </c>
      <c r="G307" s="7" t="s">
        <v>2237</v>
      </c>
      <c r="H307" s="95" t="s">
        <v>3203</v>
      </c>
      <c r="I307" s="10"/>
      <c r="J307" s="8">
        <v>30.5</v>
      </c>
      <c r="K307" s="8">
        <v>1515</v>
      </c>
      <c r="L307" s="11" t="s">
        <v>2238</v>
      </c>
      <c r="M307" s="39" t="s">
        <v>1896</v>
      </c>
      <c r="N307" s="43" t="s">
        <v>675</v>
      </c>
      <c r="O307" s="42" t="s">
        <v>1897</v>
      </c>
    </row>
    <row r="308" spans="1:15" ht="27">
      <c r="A308" s="5">
        <v>44702</v>
      </c>
      <c r="B308" s="19" t="s">
        <v>1678</v>
      </c>
      <c r="C308" s="23" t="s">
        <v>1336</v>
      </c>
      <c r="D308" s="7" t="s">
        <v>2231</v>
      </c>
      <c r="E308" s="103" t="s">
        <v>2232</v>
      </c>
      <c r="F308" s="85" t="str">
        <f>HYPERLINK("https://drive.google.com/file/d/1NljNrC93Fkxkj_XNbxAKeVMJQY5CopIg/view?usp=drivesdk","https://drive.google.com/file/d/1NljNrC93Fkxkj_XNbxAKeVMJQY5CopIg/view?usp=drivesdk")</f>
        <v>https://drive.google.com/file/d/1NljNrC93Fkxkj_XNbxAKeVMJQY5CopIg/view?usp=drivesdk</v>
      </c>
      <c r="G308" s="7" t="s">
        <v>2233</v>
      </c>
      <c r="H308" s="95" t="s">
        <v>3208</v>
      </c>
      <c r="I308" s="10"/>
      <c r="J308" s="8">
        <v>5.9</v>
      </c>
      <c r="K308" s="8">
        <v>16</v>
      </c>
      <c r="L308" s="11" t="s">
        <v>2234</v>
      </c>
      <c r="M308" s="39" t="s">
        <v>265</v>
      </c>
      <c r="N308" s="39" t="s">
        <v>265</v>
      </c>
      <c r="O308" s="38" t="s">
        <v>265</v>
      </c>
    </row>
    <row r="309" spans="1:15" ht="27" customHeight="1">
      <c r="A309" s="5">
        <v>44689</v>
      </c>
      <c r="B309" s="18" t="s">
        <v>15</v>
      </c>
      <c r="C309" s="23" t="s">
        <v>223</v>
      </c>
      <c r="D309" s="7" t="s">
        <v>730</v>
      </c>
      <c r="E309" s="103" t="s">
        <v>2230</v>
      </c>
      <c r="F309" s="85" t="str">
        <f>HYPERLINK("https://drive.google.com/file/d/1OaFzYvrk-tyT3vb_0Bg2gMqZlNokm5ii/view?usp=drivesdk","https://drive.google.com/file/d/1OaFzYvrk-tyT3vb_0Bg2gMqZlNokm5ii/view?usp=drivesdk")</f>
        <v>https://drive.google.com/file/d/1OaFzYvrk-tyT3vb_0Bg2gMqZlNokm5ii/view?usp=drivesdk</v>
      </c>
      <c r="G309" s="7" t="s">
        <v>3244</v>
      </c>
      <c r="H309" s="95" t="s">
        <v>3209</v>
      </c>
      <c r="I309" s="10"/>
      <c r="J309" s="8">
        <v>21.6</v>
      </c>
      <c r="K309" s="8">
        <v>260</v>
      </c>
      <c r="L309" s="11" t="s">
        <v>2173</v>
      </c>
      <c r="M309" s="39" t="s">
        <v>1896</v>
      </c>
      <c r="N309" s="43" t="s">
        <v>675</v>
      </c>
      <c r="O309" s="42" t="s">
        <v>1897</v>
      </c>
    </row>
    <row r="310" spans="1:15" ht="27" customHeight="1">
      <c r="A310" s="5">
        <v>44687</v>
      </c>
      <c r="B310" s="19" t="s">
        <v>1678</v>
      </c>
      <c r="C310" s="23" t="s">
        <v>1336</v>
      </c>
      <c r="D310" s="7" t="s">
        <v>2226</v>
      </c>
      <c r="E310" s="103" t="s">
        <v>2227</v>
      </c>
      <c r="F310" s="85" t="str">
        <f>HYPERLINK("https://drive.google.com/file/d/1tMjHtSdJhAqF71HIrbFSJL-pTG9uU9jO/view?usp=drivesdk","https://drive.google.com/file/d/1tMjHtSdJhAqF71HIrbFSJL-pTG9uU9jO/view?usp=drivesdk")</f>
        <v>https://drive.google.com/file/d/1tMjHtSdJhAqF71HIrbFSJL-pTG9uU9jO/view?usp=drivesdk</v>
      </c>
      <c r="G310" s="7" t="s">
        <v>2228</v>
      </c>
      <c r="H310" s="95" t="s">
        <v>3199</v>
      </c>
      <c r="I310" s="10"/>
      <c r="J310" s="8">
        <v>7.7</v>
      </c>
      <c r="K310" s="8">
        <v>626</v>
      </c>
      <c r="L310" s="11" t="s">
        <v>2229</v>
      </c>
      <c r="M310" s="39" t="s">
        <v>265</v>
      </c>
      <c r="N310" s="39" t="s">
        <v>265</v>
      </c>
      <c r="O310" s="38" t="s">
        <v>265</v>
      </c>
    </row>
    <row r="311" spans="1:15">
      <c r="A311" s="5">
        <v>44686</v>
      </c>
      <c r="B311" s="19" t="s">
        <v>1678</v>
      </c>
      <c r="C311" s="23" t="s">
        <v>1336</v>
      </c>
      <c r="D311" s="7" t="s">
        <v>2222</v>
      </c>
      <c r="E311" s="103" t="s">
        <v>2223</v>
      </c>
      <c r="F311" s="85" t="str">
        <f>HYPERLINK("https://drive.google.com/file/d/1bevi7maJc4wfaWrIl_rhuF2NlJ2z8z9V/view?usp=drivesdk","https://drive.google.com/file/d/1bevi7maJc4wfaWrIl_rhuF2NlJ2z8z9V/view?usp=drivesdk")</f>
        <v>https://drive.google.com/file/d/1bevi7maJc4wfaWrIl_rhuF2NlJ2z8z9V/view?usp=drivesdk</v>
      </c>
      <c r="G311" s="7" t="s">
        <v>2224</v>
      </c>
      <c r="H311" s="95" t="s">
        <v>3199</v>
      </c>
      <c r="I311" s="10"/>
      <c r="J311" s="8">
        <v>2.2000000000000002</v>
      </c>
      <c r="K311" s="8">
        <v>203</v>
      </c>
      <c r="L311" s="11" t="s">
        <v>2225</v>
      </c>
      <c r="M311" s="39" t="s">
        <v>265</v>
      </c>
      <c r="N311" s="39" t="s">
        <v>265</v>
      </c>
      <c r="O311" s="39" t="s">
        <v>265</v>
      </c>
    </row>
    <row r="312" spans="1:15">
      <c r="A312" s="5">
        <v>44685</v>
      </c>
      <c r="B312" s="19" t="s">
        <v>1678</v>
      </c>
      <c r="C312" s="23" t="s">
        <v>1336</v>
      </c>
      <c r="D312" s="7" t="s">
        <v>179</v>
      </c>
      <c r="E312" s="103" t="s">
        <v>2219</v>
      </c>
      <c r="F312" s="85" t="str">
        <f>HYPERLINK("https://drive.google.com/file/d/1Z-kERQ7lUVlCBF40s6qdPtBGomlIURoo/view?usp=drivesdk","https://drive.google.com/file/d/1Z-kERQ7lUVlCBF40s6qdPtBGomlIURoo/view?usp=drivesdk")</f>
        <v>https://drive.google.com/file/d/1Z-kERQ7lUVlCBF40s6qdPtBGomlIURoo/view?usp=drivesdk</v>
      </c>
      <c r="G312" s="7" t="s">
        <v>2220</v>
      </c>
      <c r="H312" s="95" t="s">
        <v>3199</v>
      </c>
      <c r="I312" s="10"/>
      <c r="J312" s="8">
        <v>0.30499999999999999</v>
      </c>
      <c r="K312" s="8">
        <v>9</v>
      </c>
      <c r="L312" s="11" t="s">
        <v>2221</v>
      </c>
      <c r="M312" s="39" t="s">
        <v>265</v>
      </c>
      <c r="N312" s="39" t="s">
        <v>265</v>
      </c>
      <c r="O312" s="39" t="s">
        <v>265</v>
      </c>
    </row>
    <row r="313" spans="1:15" ht="13.5">
      <c r="A313" s="5">
        <v>44684</v>
      </c>
      <c r="B313" s="18" t="s">
        <v>15</v>
      </c>
      <c r="C313" s="23" t="s">
        <v>16</v>
      </c>
      <c r="D313" s="7" t="s">
        <v>2215</v>
      </c>
      <c r="E313" s="103" t="s">
        <v>2216</v>
      </c>
      <c r="F313" s="85" t="str">
        <f>HYPERLINK("https://drive.google.com/file/d/105eUBkM6UzrLYvfjq5fI-tGi25J6W0YO/view?usp=drivesdk","https://drive.google.com/file/d/105eUBkM6UzrLYvfjq5fI-tGi25J6W0YO/view?usp=drivesdk")</f>
        <v>https://drive.google.com/file/d/105eUBkM6UzrLYvfjq5fI-tGi25J6W0YO/view?usp=drivesdk</v>
      </c>
      <c r="G313" s="7" t="s">
        <v>2217</v>
      </c>
      <c r="H313" s="95" t="s">
        <v>3199</v>
      </c>
      <c r="I313" s="61" t="s">
        <v>1086</v>
      </c>
      <c r="J313" s="8">
        <v>23</v>
      </c>
      <c r="K313" s="8">
        <v>177</v>
      </c>
      <c r="L313" s="11" t="s">
        <v>2218</v>
      </c>
      <c r="M313" s="39" t="s">
        <v>22</v>
      </c>
      <c r="N313" s="43" t="s">
        <v>675</v>
      </c>
      <c r="O313" s="43" t="s">
        <v>879</v>
      </c>
    </row>
    <row r="314" spans="1:15" ht="27">
      <c r="A314" s="5">
        <v>44683</v>
      </c>
      <c r="B314" s="18" t="s">
        <v>15</v>
      </c>
      <c r="C314" s="23" t="s">
        <v>16</v>
      </c>
      <c r="D314" s="7" t="s">
        <v>2211</v>
      </c>
      <c r="E314" s="103" t="s">
        <v>2212</v>
      </c>
      <c r="F314" s="85" t="str">
        <f>HYPERLINK("https://drive.google.com/file/d/1POruXWYrWCl7IyCVUgIxnVxB17dN_qKE/view?usp=drivesdk","https://drive.google.com/file/d/1POruXWYrWCl7IyCVUgIxnVxB17dN_qKE/view?usp=drivesdk")</f>
        <v>https://drive.google.com/file/d/1POruXWYrWCl7IyCVUgIxnVxB17dN_qKE/view?usp=drivesdk</v>
      </c>
      <c r="G314" s="7" t="s">
        <v>2213</v>
      </c>
      <c r="H314" s="95" t="s">
        <v>3199</v>
      </c>
      <c r="I314" s="10"/>
      <c r="J314" s="8">
        <v>102.3</v>
      </c>
      <c r="K314" s="8">
        <v>1237</v>
      </c>
      <c r="L314" s="11" t="s">
        <v>2214</v>
      </c>
      <c r="M314" s="39" t="s">
        <v>22</v>
      </c>
      <c r="N314" s="43" t="s">
        <v>675</v>
      </c>
      <c r="O314" s="43" t="s">
        <v>879</v>
      </c>
    </row>
    <row r="315" spans="1:15">
      <c r="A315" s="5">
        <v>44682</v>
      </c>
      <c r="B315" s="19" t="s">
        <v>1678</v>
      </c>
      <c r="C315" s="23" t="s">
        <v>1336</v>
      </c>
      <c r="D315" s="7" t="s">
        <v>2208</v>
      </c>
      <c r="E315" s="103" t="s">
        <v>2209</v>
      </c>
      <c r="F315" s="85" t="str">
        <f>HYPERLINK("https://drive.google.com/file/d/13whOz37qpvx1kfDJtxeHClm83WhqU_dc/view?usp=drivesdk","https://drive.google.com/file/d/13whOz37qpvx1kfDJtxeHClm83WhqU_dc/view?usp=drivesdk")</f>
        <v>https://drive.google.com/file/d/13whOz37qpvx1kfDJtxeHClm83WhqU_dc/view?usp=drivesdk</v>
      </c>
      <c r="G315" s="7" t="s">
        <v>2210</v>
      </c>
      <c r="H315" s="95" t="s">
        <v>3199</v>
      </c>
      <c r="I315" s="10"/>
      <c r="J315" s="8">
        <v>7.7</v>
      </c>
      <c r="K315" s="8">
        <v>701</v>
      </c>
      <c r="L315" s="11" t="s">
        <v>1122</v>
      </c>
      <c r="M315" s="39" t="s">
        <v>265</v>
      </c>
      <c r="N315" s="39" t="s">
        <v>265</v>
      </c>
      <c r="O315" s="39" t="s">
        <v>265</v>
      </c>
    </row>
    <row r="316" spans="1:15">
      <c r="A316" s="5">
        <v>44681</v>
      </c>
      <c r="B316" s="18" t="s">
        <v>15</v>
      </c>
      <c r="C316" s="23" t="s">
        <v>16</v>
      </c>
      <c r="D316" s="7" t="s">
        <v>2205</v>
      </c>
      <c r="E316" s="103" t="s">
        <v>2206</v>
      </c>
      <c r="F316" s="85" t="str">
        <f>HYPERLINK("https://drive.google.com/file/d/1SalVkPrb-LIfgz8-MoB8-E8Gm3jZedzZ/view?usp=drivesdk","https://drive.google.com/file/d/1SalVkPrb-LIfgz8-MoB8-E8Gm3jZedzZ/view?usp=drivesdk")</f>
        <v>https://drive.google.com/file/d/1SalVkPrb-LIfgz8-MoB8-E8Gm3jZedzZ/view?usp=drivesdk</v>
      </c>
      <c r="G316" s="7" t="s">
        <v>2207</v>
      </c>
      <c r="H316" s="95" t="s">
        <v>3199</v>
      </c>
      <c r="I316" s="10"/>
      <c r="J316" s="8">
        <v>17.7</v>
      </c>
      <c r="K316" s="8">
        <v>89</v>
      </c>
      <c r="L316" s="11" t="s">
        <v>1190</v>
      </c>
      <c r="M316" s="39" t="s">
        <v>22</v>
      </c>
      <c r="N316" s="43" t="s">
        <v>675</v>
      </c>
      <c r="O316" s="43" t="s">
        <v>879</v>
      </c>
    </row>
    <row r="317" spans="1:15" ht="27" customHeight="1">
      <c r="A317" s="5">
        <v>44675</v>
      </c>
      <c r="B317" s="56" t="s">
        <v>1632</v>
      </c>
      <c r="C317" s="23" t="s">
        <v>1633</v>
      </c>
      <c r="D317" s="7" t="s">
        <v>2201</v>
      </c>
      <c r="E317" s="103" t="s">
        <v>2202</v>
      </c>
      <c r="F317" s="85" t="str">
        <f>HYPERLINK("https://drive.google.com/file/d/1hFxEq4YsQGYRVNSCMDm_lNFBpNtcvyr_/view?usp=drivesdk","https://drive.google.com/file/d/1hFxEq4YsQGYRVNSCMDm_lNFBpNtcvyr_/view?usp=drivesdk")</f>
        <v>https://drive.google.com/file/d/1hFxEq4YsQGYRVNSCMDm_lNFBpNtcvyr_/view?usp=drivesdk</v>
      </c>
      <c r="G317" s="7" t="s">
        <v>2203</v>
      </c>
      <c r="H317" s="95" t="s">
        <v>3224</v>
      </c>
      <c r="I317" s="10"/>
      <c r="J317" s="8">
        <v>4.0999999999999996</v>
      </c>
      <c r="K317" s="8">
        <v>303</v>
      </c>
      <c r="L317" s="11" t="s">
        <v>2204</v>
      </c>
      <c r="M317" s="39" t="s">
        <v>265</v>
      </c>
      <c r="N317" s="43" t="s">
        <v>265</v>
      </c>
      <c r="O317" s="43" t="s">
        <v>265</v>
      </c>
    </row>
    <row r="318" spans="1:15" ht="27">
      <c r="A318" s="5">
        <v>44674</v>
      </c>
      <c r="B318" s="18" t="s">
        <v>15</v>
      </c>
      <c r="C318" s="23" t="s">
        <v>16</v>
      </c>
      <c r="D318" s="7" t="s">
        <v>2199</v>
      </c>
      <c r="E318" s="103" t="s">
        <v>2200</v>
      </c>
      <c r="F318" s="85" t="str">
        <f>HYPERLINK("https://drive.google.com/file/d/1xOo_y3GmPA8UAgJQaStc0NNWUoZENnDs/view?usp=drivesdk","https://drive.google.com/file/d/1xOo_y3GmPA8UAgJQaStc0NNWUoZENnDs/view?usp=drivesdk")</f>
        <v>https://drive.google.com/file/d/1xOo_y3GmPA8UAgJQaStc0NNWUoZENnDs/view?usp=drivesdk</v>
      </c>
      <c r="G318" s="7" t="s">
        <v>755</v>
      </c>
      <c r="H318" s="95" t="s">
        <v>3224</v>
      </c>
      <c r="I318" s="10"/>
      <c r="J318" s="8">
        <v>57.1</v>
      </c>
      <c r="K318" s="8">
        <v>1693</v>
      </c>
      <c r="L318" s="11" t="s">
        <v>1163</v>
      </c>
      <c r="M318" s="39" t="s">
        <v>1896</v>
      </c>
      <c r="N318" s="43" t="s">
        <v>675</v>
      </c>
      <c r="O318" s="43" t="s">
        <v>1897</v>
      </c>
    </row>
    <row r="319" spans="1:15">
      <c r="A319" s="5">
        <v>44668</v>
      </c>
      <c r="B319" s="19" t="s">
        <v>1678</v>
      </c>
      <c r="C319" s="23" t="s">
        <v>1336</v>
      </c>
      <c r="D319" s="7" t="s">
        <v>1157</v>
      </c>
      <c r="E319" s="103" t="s">
        <v>2196</v>
      </c>
      <c r="F319" s="85" t="str">
        <f>HYPERLINK("https://drive.google.com/file/d/15iyXLS2G_OYAOgm5Cv-dzv2sHwE9-EJy/view?usp=drivesdk","https://drive.google.com/file/d/15iyXLS2G_OYAOgm5Cv-dzv2sHwE9-EJy/view?usp=drivesdk")</f>
        <v>https://drive.google.com/file/d/15iyXLS2G_OYAOgm5Cv-dzv2sHwE9-EJy/view?usp=drivesdk</v>
      </c>
      <c r="G319" s="7" t="s">
        <v>2197</v>
      </c>
      <c r="H319" s="95" t="s">
        <v>3245</v>
      </c>
      <c r="I319" s="10"/>
      <c r="J319" s="8">
        <v>1.2</v>
      </c>
      <c r="K319" s="8">
        <v>17</v>
      </c>
      <c r="L319" s="11" t="s">
        <v>2198</v>
      </c>
      <c r="M319" s="39" t="s">
        <v>265</v>
      </c>
      <c r="N319" s="39" t="s">
        <v>265</v>
      </c>
      <c r="O319" s="39" t="s">
        <v>265</v>
      </c>
    </row>
    <row r="320" spans="1:15" ht="27">
      <c r="A320" s="5">
        <v>44667</v>
      </c>
      <c r="B320" s="6" t="s">
        <v>246</v>
      </c>
      <c r="C320" s="23" t="s">
        <v>1336</v>
      </c>
      <c r="D320" s="7" t="s">
        <v>2192</v>
      </c>
      <c r="E320" s="103" t="s">
        <v>2193</v>
      </c>
      <c r="F320" s="85" t="str">
        <f>HYPERLINK("https://drive.google.com/file/d/127NCenPSBpnt0hSc9WqnBort5DvnI0vh/view?usp=drivesdk","https://drive.google.com/file/d/127NCenPSBpnt0hSc9WqnBort5DvnI0vh/view?usp=drivesdk")</f>
        <v>https://drive.google.com/file/d/127NCenPSBpnt0hSc9WqnBort5DvnI0vh/view?usp=drivesdk</v>
      </c>
      <c r="G320" s="7" t="s">
        <v>2194</v>
      </c>
      <c r="H320" s="73" t="s">
        <v>3203</v>
      </c>
      <c r="I320" s="10"/>
      <c r="J320" s="8">
        <v>5.4</v>
      </c>
      <c r="K320" s="8">
        <v>607</v>
      </c>
      <c r="L320" s="11" t="s">
        <v>2195</v>
      </c>
      <c r="M320" s="39" t="s">
        <v>1896</v>
      </c>
      <c r="N320" s="43" t="s">
        <v>675</v>
      </c>
      <c r="O320" s="43" t="s">
        <v>1897</v>
      </c>
    </row>
    <row r="321" spans="1:15" ht="27" customHeight="1">
      <c r="A321" s="5">
        <v>44661</v>
      </c>
      <c r="B321" s="18" t="s">
        <v>15</v>
      </c>
      <c r="C321" s="23" t="s">
        <v>16</v>
      </c>
      <c r="D321" s="7" t="s">
        <v>2188</v>
      </c>
      <c r="E321" s="103" t="s">
        <v>2189</v>
      </c>
      <c r="F321" s="85" t="str">
        <f>HYPERLINK("https://drive.google.com/file/d/1Y37GrN-oVy3onySNvxKl8MIEErQHyYQt/view?usp=drivesdk","https://drive.google.com/file/d/1Y37GrN-oVy3onySNvxKl8MIEErQHyYQt/view?usp=drivesdk")</f>
        <v>https://drive.google.com/file/d/1Y37GrN-oVy3onySNvxKl8MIEErQHyYQt/view?usp=drivesdk</v>
      </c>
      <c r="G321" s="7" t="s">
        <v>2190</v>
      </c>
      <c r="H321" s="95" t="s">
        <v>3264</v>
      </c>
      <c r="I321" s="31" t="s">
        <v>40</v>
      </c>
      <c r="J321" s="8">
        <v>166.5</v>
      </c>
      <c r="K321" s="8">
        <v>2735</v>
      </c>
      <c r="L321" s="11" t="s">
        <v>2191</v>
      </c>
      <c r="M321" s="39" t="s">
        <v>22</v>
      </c>
      <c r="N321" s="43" t="s">
        <v>675</v>
      </c>
      <c r="O321" s="43" t="s">
        <v>1584</v>
      </c>
    </row>
    <row r="322" spans="1:15">
      <c r="A322" s="5">
        <v>44660</v>
      </c>
      <c r="B322" s="18" t="s">
        <v>15</v>
      </c>
      <c r="C322" s="23" t="s">
        <v>16</v>
      </c>
      <c r="D322" s="7" t="s">
        <v>1607</v>
      </c>
      <c r="E322" s="103" t="s">
        <v>2185</v>
      </c>
      <c r="F322" s="85" t="str">
        <f>HYPERLINK("https://drive.google.com/file/d/1Xd6iqn6W-dG-O-9ScT7cRfNcgrJ9rG4U/view?usp=drivesdk","https://drive.google.com/file/d/1Xd6iqn6W-dG-O-9ScT7cRfNcgrJ9rG4U/view?usp=drivesdk")</f>
        <v>https://drive.google.com/file/d/1Xd6iqn6W-dG-O-9ScT7cRfNcgrJ9rG4U/view?usp=drivesdk</v>
      </c>
      <c r="G322" s="7" t="s">
        <v>2186</v>
      </c>
      <c r="H322" s="95" t="s">
        <v>3208</v>
      </c>
      <c r="I322" s="31" t="s">
        <v>1610</v>
      </c>
      <c r="J322" s="8">
        <v>57.5</v>
      </c>
      <c r="K322" s="8">
        <v>430</v>
      </c>
      <c r="L322" s="11" t="s">
        <v>2187</v>
      </c>
      <c r="M322" s="39" t="s">
        <v>22</v>
      </c>
      <c r="N322" s="43" t="s">
        <v>675</v>
      </c>
      <c r="O322" s="43" t="s">
        <v>879</v>
      </c>
    </row>
    <row r="323" spans="1:15">
      <c r="A323" s="5">
        <v>44654</v>
      </c>
      <c r="B323" s="20" t="s">
        <v>1632</v>
      </c>
      <c r="C323" s="23" t="s">
        <v>1633</v>
      </c>
      <c r="D323" s="7" t="s">
        <v>2181</v>
      </c>
      <c r="E323" s="103" t="s">
        <v>2182</v>
      </c>
      <c r="F323" s="85" t="str">
        <f>HYPERLINK("https://drive.google.com/file/d/1EdbFlyq4oFiJupYWGQNYy07RXZSfZlTN/view?usp=drivesdk","https://drive.google.com/file/d/1EdbFlyq4oFiJupYWGQNYy07RXZSfZlTN/view?usp=drivesdk")</f>
        <v>https://drive.google.com/file/d/1EdbFlyq4oFiJupYWGQNYy07RXZSfZlTN/view?usp=drivesdk</v>
      </c>
      <c r="G323" s="7" t="s">
        <v>2183</v>
      </c>
      <c r="H323" s="95" t="s">
        <v>3245</v>
      </c>
      <c r="I323" s="31" t="s">
        <v>40</v>
      </c>
      <c r="J323" s="8">
        <v>6</v>
      </c>
      <c r="K323" s="8">
        <v>95</v>
      </c>
      <c r="L323" s="11" t="s">
        <v>2184</v>
      </c>
      <c r="M323" s="39" t="s">
        <v>265</v>
      </c>
      <c r="N323" s="39" t="s">
        <v>265</v>
      </c>
      <c r="O323" s="39" t="s">
        <v>265</v>
      </c>
    </row>
    <row r="324" spans="1:15" ht="27" customHeight="1">
      <c r="A324" s="5">
        <v>44653</v>
      </c>
      <c r="B324" s="19" t="s">
        <v>1678</v>
      </c>
      <c r="C324" s="23" t="s">
        <v>1336</v>
      </c>
      <c r="D324" s="7" t="s">
        <v>2177</v>
      </c>
      <c r="E324" s="103" t="s">
        <v>2178</v>
      </c>
      <c r="F324" s="85" t="str">
        <f>HYPERLINK("https://drive.google.com/file/d/18wdrPV8pBDOHoS5GpTJiThA-IIKDlv-G/view?usp=drivesdk","https://drive.google.com/file/d/18wdrPV8pBDOHoS5GpTJiThA-IIKDlv-G/view?usp=drivesdk")</f>
        <v>https://drive.google.com/file/d/18wdrPV8pBDOHoS5GpTJiThA-IIKDlv-G/view?usp=drivesdk</v>
      </c>
      <c r="G324" s="7" t="s">
        <v>2179</v>
      </c>
      <c r="H324" s="73" t="s">
        <v>272</v>
      </c>
      <c r="I324" s="31" t="s">
        <v>40</v>
      </c>
      <c r="J324" s="8">
        <v>69.8</v>
      </c>
      <c r="K324" s="8">
        <v>2343</v>
      </c>
      <c r="L324" s="11" t="s">
        <v>2180</v>
      </c>
      <c r="M324" s="39" t="s">
        <v>265</v>
      </c>
      <c r="N324" s="39" t="s">
        <v>265</v>
      </c>
      <c r="O324" s="39" t="s">
        <v>265</v>
      </c>
    </row>
    <row r="325" spans="1:15" ht="27" customHeight="1">
      <c r="A325" s="5">
        <v>44647</v>
      </c>
      <c r="B325" s="18" t="s">
        <v>15</v>
      </c>
      <c r="C325" s="23" t="s">
        <v>16</v>
      </c>
      <c r="D325" s="7" t="s">
        <v>32</v>
      </c>
      <c r="E325" s="103" t="s">
        <v>2174</v>
      </c>
      <c r="F325" s="85" t="str">
        <f>HYPERLINK("https://drive.google.com/file/d/1jziHjs-l42SdQzqG6IEp_nG29WuhPyCU/view?usp=drivesdk","https://drive.google.com/file/d/1jziHjs-l42SdQzqG6IEp_nG29WuhPyCU/view?usp=drivesdk")</f>
        <v>https://drive.google.com/file/d/1jziHjs-l42SdQzqG6IEp_nG29WuhPyCU/view?usp=drivesdk</v>
      </c>
      <c r="G325" s="7" t="s">
        <v>2175</v>
      </c>
      <c r="H325" s="73" t="s">
        <v>222</v>
      </c>
      <c r="I325" s="24" t="s">
        <v>40</v>
      </c>
      <c r="J325" s="8">
        <v>89.8</v>
      </c>
      <c r="K325" s="8">
        <v>316</v>
      </c>
      <c r="L325" s="11" t="s">
        <v>2176</v>
      </c>
      <c r="M325" s="39" t="s">
        <v>102</v>
      </c>
      <c r="N325" s="43" t="s">
        <v>194</v>
      </c>
      <c r="O325" s="43" t="s">
        <v>195</v>
      </c>
    </row>
    <row r="326" spans="1:15">
      <c r="A326" s="5">
        <v>44646</v>
      </c>
      <c r="B326" s="18" t="s">
        <v>15</v>
      </c>
      <c r="C326" s="23" t="s">
        <v>16</v>
      </c>
      <c r="D326" s="7" t="s">
        <v>32</v>
      </c>
      <c r="E326" s="103" t="s">
        <v>2171</v>
      </c>
      <c r="F326" s="85" t="str">
        <f>HYPERLINK("https://drive.google.com/file/d/1T_MCRio2Pp0jRhXLndkgI15SpfZ1mLEX/view?usp=drivesdk","https://drive.google.com/file/d/1T_MCRio2Pp0jRhXLndkgI15SpfZ1mLEX/view?usp=drivesdk")</f>
        <v>https://drive.google.com/file/d/1T_MCRio2Pp0jRhXLndkgI15SpfZ1mLEX/view?usp=drivesdk</v>
      </c>
      <c r="G326" s="7" t="s">
        <v>2172</v>
      </c>
      <c r="H326" s="73" t="s">
        <v>222</v>
      </c>
      <c r="I326" s="24" t="s">
        <v>40</v>
      </c>
      <c r="J326" s="8">
        <v>8.9</v>
      </c>
      <c r="K326" s="8">
        <v>16</v>
      </c>
      <c r="L326" s="11" t="s">
        <v>2173</v>
      </c>
      <c r="M326" s="39" t="s">
        <v>330</v>
      </c>
      <c r="N326" s="43" t="s">
        <v>331</v>
      </c>
      <c r="O326" s="43" t="s">
        <v>332</v>
      </c>
    </row>
    <row r="327" spans="1:15">
      <c r="A327" s="5">
        <v>44641</v>
      </c>
      <c r="B327" s="18" t="s">
        <v>15</v>
      </c>
      <c r="C327" s="23" t="s">
        <v>16</v>
      </c>
      <c r="D327" s="7" t="s">
        <v>2168</v>
      </c>
      <c r="E327" s="103" t="s">
        <v>2169</v>
      </c>
      <c r="F327" s="85" t="str">
        <f>HYPERLINK("https://drive.google.com/file/d/1vQUl8-OhaFegquywrrYtsrVE30v3TkEn/view?usp=drivesdk","https://drive.google.com/file/d/1vQUl8-OhaFegquywrrYtsrVE30v3TkEn/view?usp=drivesdk")</f>
        <v>https://drive.google.com/file/d/1vQUl8-OhaFegquywrrYtsrVE30v3TkEn/view?usp=drivesdk</v>
      </c>
      <c r="G327" s="7" t="s">
        <v>2170</v>
      </c>
      <c r="H327" s="95" t="s">
        <v>3264</v>
      </c>
      <c r="I327" s="31" t="s">
        <v>40</v>
      </c>
      <c r="J327" s="8">
        <v>90.6</v>
      </c>
      <c r="K327" s="8">
        <v>463</v>
      </c>
      <c r="L327" s="11" t="s">
        <v>1171</v>
      </c>
      <c r="M327" s="39" t="s">
        <v>22</v>
      </c>
      <c r="N327" s="43" t="s">
        <v>675</v>
      </c>
      <c r="O327" s="43" t="s">
        <v>879</v>
      </c>
    </row>
    <row r="328" spans="1:15" ht="40.5" customHeight="1">
      <c r="A328" s="5">
        <v>44640</v>
      </c>
      <c r="B328" s="19" t="s">
        <v>1678</v>
      </c>
      <c r="C328" s="23" t="s">
        <v>1336</v>
      </c>
      <c r="D328" s="7" t="s">
        <v>2165</v>
      </c>
      <c r="E328" s="103" t="s">
        <v>2166</v>
      </c>
      <c r="F328" s="85" t="str">
        <f>HYPERLINK("https://drive.google.com/file/d/1OzLY11jcHu3ERZzWinRl_SM2_kIR2sud/view?usp=drivesdk","https://drive.google.com/file/d/1OzLY11jcHu3ERZzWinRl_SM2_kIR2sud/view?usp=drivesdk")</f>
        <v>https://drive.google.com/file/d/1OzLY11jcHu3ERZzWinRl_SM2_kIR2sud/view?usp=drivesdk</v>
      </c>
      <c r="G328" s="7" t="s">
        <v>2122</v>
      </c>
      <c r="H328" s="95" t="s">
        <v>3203</v>
      </c>
      <c r="I328" s="10"/>
      <c r="J328" s="8">
        <v>7.6</v>
      </c>
      <c r="K328" s="8">
        <v>666</v>
      </c>
      <c r="L328" s="11" t="s">
        <v>2167</v>
      </c>
      <c r="M328" s="39" t="s">
        <v>265</v>
      </c>
      <c r="N328" s="39" t="s">
        <v>265</v>
      </c>
      <c r="O328" s="38" t="s">
        <v>265</v>
      </c>
    </row>
    <row r="329" spans="1:15" ht="27" customHeight="1">
      <c r="A329" s="5">
        <v>44639</v>
      </c>
      <c r="B329" s="18" t="s">
        <v>15</v>
      </c>
      <c r="C329" s="23" t="s">
        <v>16</v>
      </c>
      <c r="D329" s="7" t="s">
        <v>2161</v>
      </c>
      <c r="E329" s="103" t="s">
        <v>2162</v>
      </c>
      <c r="F329" s="85" t="str">
        <f>HYPERLINK("https://drive.google.com/file/d/18VYyfDs22UGhndmje2lRGTzJwY_GECBF/view?usp=drivesdk","https://drive.google.com/file/d/18VYyfDs22UGhndmje2lRGTzJwY_GECBF/view?usp=drivesdk")</f>
        <v>https://drive.google.com/file/d/18VYyfDs22UGhndmje2lRGTzJwY_GECBF/view?usp=drivesdk</v>
      </c>
      <c r="G329" s="7" t="s">
        <v>2163</v>
      </c>
      <c r="H329" s="95" t="s">
        <v>3297</v>
      </c>
      <c r="I329" s="10"/>
      <c r="J329" s="8">
        <v>61</v>
      </c>
      <c r="K329" s="8">
        <v>1537</v>
      </c>
      <c r="L329" s="11" t="s">
        <v>2164</v>
      </c>
      <c r="M329" s="39" t="s">
        <v>22</v>
      </c>
      <c r="N329" s="43" t="s">
        <v>675</v>
      </c>
      <c r="O329" s="43" t="s">
        <v>879</v>
      </c>
    </row>
    <row r="330" spans="1:15" ht="18.75" customHeight="1">
      <c r="A330" s="5">
        <v>44633</v>
      </c>
      <c r="B330" s="18" t="s">
        <v>15</v>
      </c>
      <c r="C330" s="37" t="s">
        <v>16</v>
      </c>
      <c r="D330" s="7" t="s">
        <v>2157</v>
      </c>
      <c r="E330" s="103" t="s">
        <v>2158</v>
      </c>
      <c r="F330" s="85" t="str">
        <f>HYPERLINK("https://drive.google.com/file/d/14sV5f3IalFQz_56NFkK94IywruNkEFVG/view?usp=drivesdk","https://drive.google.com/file/d/14sV5f3IalFQz_56NFkK94IywruNkEFVG/view?usp=drivesdk")</f>
        <v>https://drive.google.com/file/d/14sV5f3IalFQz_56NFkK94IywruNkEFVG/view?usp=drivesdk</v>
      </c>
      <c r="G330" s="7" t="s">
        <v>2159</v>
      </c>
      <c r="H330" s="95" t="s">
        <v>3215</v>
      </c>
      <c r="I330" s="25" t="s">
        <v>629</v>
      </c>
      <c r="J330" s="8">
        <v>37.9</v>
      </c>
      <c r="K330" s="8">
        <v>1009</v>
      </c>
      <c r="L330" s="11" t="s">
        <v>2160</v>
      </c>
      <c r="M330" s="39" t="s">
        <v>1896</v>
      </c>
      <c r="N330" s="43" t="s">
        <v>675</v>
      </c>
      <c r="O330" s="42" t="s">
        <v>1897</v>
      </c>
    </row>
    <row r="331" spans="1:15" ht="28.5" customHeight="1">
      <c r="A331" s="5">
        <v>44632</v>
      </c>
      <c r="B331" s="19" t="s">
        <v>1678</v>
      </c>
      <c r="C331" s="23" t="s">
        <v>1336</v>
      </c>
      <c r="D331" s="7" t="s">
        <v>1874</v>
      </c>
      <c r="E331" s="103" t="s">
        <v>2155</v>
      </c>
      <c r="F331" s="85" t="str">
        <f>HYPERLINK("https://drive.google.com/file/d/143-DZehnYbjSfz20OXgxK4l-x2cGszHk/view?usp=drivesdk","https://drive.google.com/file/d/143-DZehnYbjSfz20OXgxK4l-x2cGszHk/view?usp=drivesdk")</f>
        <v>https://drive.google.com/file/d/143-DZehnYbjSfz20OXgxK4l-x2cGszHk/view?usp=drivesdk</v>
      </c>
      <c r="G331" s="7" t="s">
        <v>1918</v>
      </c>
      <c r="H331" s="95" t="s">
        <v>3208</v>
      </c>
      <c r="I331" s="71" t="s">
        <v>1874</v>
      </c>
      <c r="J331" s="8">
        <v>21.8</v>
      </c>
      <c r="K331" s="8">
        <v>1670</v>
      </c>
      <c r="L331" s="11" t="s">
        <v>2156</v>
      </c>
      <c r="M331" s="39" t="s">
        <v>265</v>
      </c>
      <c r="N331" s="39" t="s">
        <v>265</v>
      </c>
      <c r="O331" s="39" t="s">
        <v>265</v>
      </c>
    </row>
    <row r="332" spans="1:15">
      <c r="A332" s="5">
        <v>44626</v>
      </c>
      <c r="B332" s="18" t="s">
        <v>15</v>
      </c>
      <c r="C332" s="23" t="s">
        <v>16</v>
      </c>
      <c r="D332" s="7" t="s">
        <v>2151</v>
      </c>
      <c r="E332" s="103" t="s">
        <v>2152</v>
      </c>
      <c r="F332" s="85" t="str">
        <f>HYPERLINK("https://drive.google.com/file/d/1FJGSUmKX3GHFWIcPBEtibva_Oah0X4Br/view?usp=drivesdk","https://drive.google.com/file/d/1FJGSUmKX3GHFWIcPBEtibva_Oah0X4Br/view?usp=drivesdk")</f>
        <v>https://drive.google.com/file/d/1FJGSUmKX3GHFWIcPBEtibva_Oah0X4Br/view?usp=drivesdk</v>
      </c>
      <c r="G332" s="7" t="s">
        <v>2153</v>
      </c>
      <c r="H332" s="95" t="s">
        <v>3225</v>
      </c>
      <c r="I332" s="31" t="s">
        <v>40</v>
      </c>
      <c r="J332" s="8">
        <v>8.4</v>
      </c>
      <c r="K332" s="8">
        <v>22</v>
      </c>
      <c r="L332" s="11" t="s">
        <v>2154</v>
      </c>
      <c r="M332" s="39" t="s">
        <v>22</v>
      </c>
      <c r="N332" s="43" t="s">
        <v>675</v>
      </c>
      <c r="O332" s="43" t="s">
        <v>879</v>
      </c>
    </row>
    <row r="333" spans="1:15" ht="27">
      <c r="A333" s="5">
        <v>44625</v>
      </c>
      <c r="B333" s="18" t="s">
        <v>15</v>
      </c>
      <c r="C333" s="23" t="s">
        <v>223</v>
      </c>
      <c r="D333" s="7" t="s">
        <v>2149</v>
      </c>
      <c r="E333" s="103" t="s">
        <v>2150</v>
      </c>
      <c r="F333" s="85" t="str">
        <f>HYPERLINK("https://drive.google.com/file/d/1awyg1JB2X1Wy-l1dT93Jspdgys7ePzH8/view?usp=drivesdk","https://drive.google.com/file/d/1awyg1JB2X1Wy-l1dT93Jspdgys7ePzH8/view?usp=drivesdk")</f>
        <v>https://drive.google.com/file/d/1awyg1JB2X1Wy-l1dT93Jspdgys7ePzH8/view?usp=drivesdk</v>
      </c>
      <c r="G333" s="7" t="s">
        <v>945</v>
      </c>
      <c r="H333" s="95" t="s">
        <v>3225</v>
      </c>
      <c r="I333" s="24" t="s">
        <v>40</v>
      </c>
      <c r="J333" s="8">
        <v>43.8</v>
      </c>
      <c r="K333" s="8">
        <v>1414</v>
      </c>
      <c r="L333" s="11" t="s">
        <v>2115</v>
      </c>
      <c r="M333" s="39" t="s">
        <v>1896</v>
      </c>
      <c r="N333" s="43" t="s">
        <v>675</v>
      </c>
      <c r="O333" s="43" t="s">
        <v>1897</v>
      </c>
    </row>
    <row r="334" spans="1:15" ht="27">
      <c r="A334" s="5">
        <v>44619</v>
      </c>
      <c r="B334" s="19" t="s">
        <v>1678</v>
      </c>
      <c r="C334" s="23" t="s">
        <v>1336</v>
      </c>
      <c r="D334" s="7" t="s">
        <v>2145</v>
      </c>
      <c r="E334" s="103" t="s">
        <v>2146</v>
      </c>
      <c r="F334" s="85" t="str">
        <f>HYPERLINK("https://drive.google.com/file/d/1MF0X7_Hk4SBdR8N_LzCzGlQa53eHMs0W/view?usp=drivesdk","https://drive.google.com/file/d/1MF0X7_Hk4SBdR8N_LzCzGlQa53eHMs0W/view?usp=drivesdk")</f>
        <v>https://drive.google.com/file/d/1MF0X7_Hk4SBdR8N_LzCzGlQa53eHMs0W/view?usp=drivesdk</v>
      </c>
      <c r="G334" s="7" t="s">
        <v>2147</v>
      </c>
      <c r="H334" s="95" t="s">
        <v>3203</v>
      </c>
      <c r="I334" s="10"/>
      <c r="J334" s="8">
        <v>13.6</v>
      </c>
      <c r="K334" s="8">
        <v>1113</v>
      </c>
      <c r="L334" s="11" t="s">
        <v>2148</v>
      </c>
      <c r="M334" s="39" t="s">
        <v>265</v>
      </c>
      <c r="N334" s="39" t="s">
        <v>265</v>
      </c>
      <c r="O334" s="39" t="s">
        <v>265</v>
      </c>
    </row>
    <row r="335" spans="1:15" ht="28.5" customHeight="1">
      <c r="A335" s="5">
        <v>44618</v>
      </c>
      <c r="B335" s="19" t="s">
        <v>1678</v>
      </c>
      <c r="C335" s="23" t="s">
        <v>1336</v>
      </c>
      <c r="D335" s="7" t="s">
        <v>2142</v>
      </c>
      <c r="E335" s="103" t="s">
        <v>2143</v>
      </c>
      <c r="F335" s="85" t="str">
        <f>HYPERLINK("https://drive.google.com/file/d/1iWaHaZ5S8FFFPbsAX6oskFaOqZh9mC2Z/view?usp=drivesdk","https://drive.google.com/file/d/1iWaHaZ5S8FFFPbsAX6oskFaOqZh9mC2Z/view?usp=drivesdk")</f>
        <v>https://drive.google.com/file/d/1iWaHaZ5S8FFFPbsAX6oskFaOqZh9mC2Z/view?usp=drivesdk</v>
      </c>
      <c r="G335" s="7" t="s">
        <v>2144</v>
      </c>
      <c r="H335" s="95" t="s">
        <v>3203</v>
      </c>
      <c r="I335" s="10"/>
      <c r="J335" s="8">
        <v>9.5</v>
      </c>
      <c r="K335" s="8">
        <v>660</v>
      </c>
      <c r="L335" s="11" t="s">
        <v>2012</v>
      </c>
      <c r="M335" s="39" t="s">
        <v>265</v>
      </c>
      <c r="N335" s="39" t="s">
        <v>265</v>
      </c>
      <c r="O335" s="38" t="s">
        <v>265</v>
      </c>
    </row>
    <row r="336" spans="1:15" ht="27">
      <c r="A336" s="5">
        <v>44615</v>
      </c>
      <c r="B336" s="18" t="s">
        <v>15</v>
      </c>
      <c r="C336" s="23" t="s">
        <v>16</v>
      </c>
      <c r="D336" s="7" t="s">
        <v>2138</v>
      </c>
      <c r="E336" s="103" t="s">
        <v>2139</v>
      </c>
      <c r="F336" s="85" t="str">
        <f>HYPERLINK("https://drive.google.com/file/d/1Mbyacu1MegkO4EPv5-zlt5RZmKBQ8SNt/view?usp=drivesdk","https://drive.google.com/file/d/1Mbyacu1MegkO4EPv5-zlt5RZmKBQ8SNt/view?usp=drivesdk")</f>
        <v>https://drive.google.com/file/d/1Mbyacu1MegkO4EPv5-zlt5RZmKBQ8SNt/view?usp=drivesdk</v>
      </c>
      <c r="G336" s="7" t="s">
        <v>2140</v>
      </c>
      <c r="H336" s="95" t="s">
        <v>3225</v>
      </c>
      <c r="I336" s="10" t="s">
        <v>357</v>
      </c>
      <c r="J336" s="8">
        <v>189.8</v>
      </c>
      <c r="K336" s="8">
        <v>2926</v>
      </c>
      <c r="L336" s="11" t="s">
        <v>2141</v>
      </c>
      <c r="M336" s="39" t="s">
        <v>22</v>
      </c>
      <c r="N336" s="43" t="s">
        <v>675</v>
      </c>
      <c r="O336" s="43" t="s">
        <v>1584</v>
      </c>
    </row>
    <row r="337" spans="1:15">
      <c r="A337" s="5">
        <v>44612</v>
      </c>
      <c r="B337" s="19" t="s">
        <v>1678</v>
      </c>
      <c r="C337" s="23" t="s">
        <v>1336</v>
      </c>
      <c r="D337" s="7" t="s">
        <v>2135</v>
      </c>
      <c r="E337" s="103" t="s">
        <v>2136</v>
      </c>
      <c r="F337" s="85" t="str">
        <f>HYPERLINK("https://drive.google.com/file/d/1vHi7F8XhEgKsBLMx8vXtjSZZgESBB1xf/view?usp=drivesdk","https://drive.google.com/file/d/1vHi7F8XhEgKsBLMx8vXtjSZZgESBB1xf/view?usp=drivesdk")</f>
        <v>https://drive.google.com/file/d/1vHi7F8XhEgKsBLMx8vXtjSZZgESBB1xf/view?usp=drivesdk</v>
      </c>
      <c r="G337" s="7" t="s">
        <v>2137</v>
      </c>
      <c r="H337" s="95" t="s">
        <v>3203</v>
      </c>
      <c r="I337" s="10"/>
      <c r="J337" s="8">
        <v>12</v>
      </c>
      <c r="K337" s="8">
        <v>1060</v>
      </c>
      <c r="L337" s="11" t="s">
        <v>976</v>
      </c>
      <c r="M337" s="39" t="s">
        <v>265</v>
      </c>
      <c r="N337" s="39" t="s">
        <v>265</v>
      </c>
      <c r="O337" s="39" t="s">
        <v>265</v>
      </c>
    </row>
    <row r="338" spans="1:15" ht="27" customHeight="1">
      <c r="A338" s="5">
        <v>44605</v>
      </c>
      <c r="B338" s="18" t="s">
        <v>15</v>
      </c>
      <c r="C338" s="23" t="s">
        <v>16</v>
      </c>
      <c r="D338" s="7" t="s">
        <v>2131</v>
      </c>
      <c r="E338" s="103" t="s">
        <v>2132</v>
      </c>
      <c r="F338" s="85" t="str">
        <f>HYPERLINK("https://drive.google.com/file/d/1ju4AHcCk5JauIgAdLMcJB5eeZHAUccaV/view?usp=drivesdk","https://drive.google.com/file/d/1ju4AHcCk5JauIgAdLMcJB5eeZHAUccaV/view?usp=drivesdk")</f>
        <v>https://drive.google.com/file/d/1ju4AHcCk5JauIgAdLMcJB5eeZHAUccaV/view?usp=drivesdk</v>
      </c>
      <c r="G338" s="7" t="s">
        <v>2133</v>
      </c>
      <c r="H338" s="95" t="s">
        <v>3225</v>
      </c>
      <c r="I338" s="10" t="s">
        <v>357</v>
      </c>
      <c r="J338" s="8">
        <v>90.8</v>
      </c>
      <c r="K338" s="8">
        <v>1570</v>
      </c>
      <c r="L338" s="11" t="s">
        <v>2134</v>
      </c>
      <c r="M338" s="39" t="s">
        <v>1896</v>
      </c>
      <c r="N338" s="43" t="s">
        <v>675</v>
      </c>
      <c r="O338" s="43" t="s">
        <v>1897</v>
      </c>
    </row>
    <row r="339" spans="1:15" ht="27" customHeight="1">
      <c r="A339" s="5">
        <v>44604</v>
      </c>
      <c r="B339" s="18" t="s">
        <v>15</v>
      </c>
      <c r="C339" s="23" t="s">
        <v>16</v>
      </c>
      <c r="D339" s="7" t="s">
        <v>2128</v>
      </c>
      <c r="E339" s="103" t="s">
        <v>2129</v>
      </c>
      <c r="F339" s="85" t="str">
        <f>HYPERLINK("https://drive.google.com/file/d/13mqaZbrL_Tk-umi08IO_YMGDqehf2UQ-/view?usp=drivesdk","https://drive.google.com/file/d/13mqaZbrL_Tk-umi08IO_YMGDqehf2UQ-/view?usp=drivesdk")</f>
        <v>https://drive.google.com/file/d/13mqaZbrL_Tk-umi08IO_YMGDqehf2UQ-/view?usp=drivesdk</v>
      </c>
      <c r="G339" s="7" t="s">
        <v>2130</v>
      </c>
      <c r="H339" s="95" t="s">
        <v>3225</v>
      </c>
      <c r="I339" s="10" t="s">
        <v>357</v>
      </c>
      <c r="J339" s="8">
        <v>120.9</v>
      </c>
      <c r="K339" s="8">
        <v>1929</v>
      </c>
      <c r="L339" s="11" t="s">
        <v>1340</v>
      </c>
      <c r="M339" s="39" t="s">
        <v>1896</v>
      </c>
      <c r="N339" s="43" t="s">
        <v>675</v>
      </c>
      <c r="O339" s="43" t="s">
        <v>1897</v>
      </c>
    </row>
    <row r="340" spans="1:15" ht="27">
      <c r="A340" s="5">
        <v>44603</v>
      </c>
      <c r="B340" s="19" t="s">
        <v>1678</v>
      </c>
      <c r="C340" s="23" t="s">
        <v>1336</v>
      </c>
      <c r="D340" s="7" t="s">
        <v>2124</v>
      </c>
      <c r="E340" s="103" t="s">
        <v>2125</v>
      </c>
      <c r="F340" s="85" t="str">
        <f>HYPERLINK("https://drive.google.com/file/d/1bSV8-Jr_HWpaqycmQmrLXO3g64w0eUTk/view?usp=drivesdk","https://drive.google.com/file/d/1bSV8-Jr_HWpaqycmQmrLXO3g64w0eUTk/view?usp=drivesdk")</f>
        <v>https://drive.google.com/file/d/1bSV8-Jr_HWpaqycmQmrLXO3g64w0eUTk/view?usp=drivesdk</v>
      </c>
      <c r="G340" s="7" t="s">
        <v>2126</v>
      </c>
      <c r="H340" s="97" t="s">
        <v>3237</v>
      </c>
      <c r="I340" s="10"/>
      <c r="J340" s="8">
        <v>15.6</v>
      </c>
      <c r="K340" s="8">
        <v>1101</v>
      </c>
      <c r="L340" s="11" t="s">
        <v>2127</v>
      </c>
      <c r="M340" s="39" t="s">
        <v>265</v>
      </c>
      <c r="N340" s="39" t="s">
        <v>265</v>
      </c>
      <c r="O340" s="39" t="s">
        <v>265</v>
      </c>
    </row>
    <row r="341" spans="1:15" ht="27" customHeight="1">
      <c r="A341" s="5">
        <v>44598</v>
      </c>
      <c r="B341" s="19" t="s">
        <v>1678</v>
      </c>
      <c r="C341" s="23" t="s">
        <v>1336</v>
      </c>
      <c r="D341" s="7" t="s">
        <v>2120</v>
      </c>
      <c r="E341" s="103" t="s">
        <v>2121</v>
      </c>
      <c r="F341" s="85" t="str">
        <f>HYPERLINK("https://drive.google.com/file/d/1hx7scvcA_6rE8TKWFerUdHuUinHbjX1B/view?usp=drivesdk","https://drive.google.com/file/d/1hx7scvcA_6rE8TKWFerUdHuUinHbjX1B/view?usp=drivesdk")</f>
        <v>https://drive.google.com/file/d/1hx7scvcA_6rE8TKWFerUdHuUinHbjX1B/view?usp=drivesdk</v>
      </c>
      <c r="G341" s="7" t="s">
        <v>2122</v>
      </c>
      <c r="H341" s="95" t="s">
        <v>3203</v>
      </c>
      <c r="I341" s="10"/>
      <c r="J341" s="8">
        <v>6.6</v>
      </c>
      <c r="K341" s="8">
        <v>595</v>
      </c>
      <c r="L341" s="11" t="s">
        <v>2123</v>
      </c>
      <c r="M341" s="39" t="s">
        <v>265</v>
      </c>
      <c r="N341" s="39" t="s">
        <v>265</v>
      </c>
      <c r="O341" s="39" t="s">
        <v>265</v>
      </c>
    </row>
    <row r="342" spans="1:15">
      <c r="A342" s="5">
        <v>44597</v>
      </c>
      <c r="B342" s="19" t="s">
        <v>1678</v>
      </c>
      <c r="C342" s="23" t="s">
        <v>1336</v>
      </c>
      <c r="D342" s="7" t="s">
        <v>2116</v>
      </c>
      <c r="E342" s="103" t="s">
        <v>2117</v>
      </c>
      <c r="F342" s="85" t="str">
        <f>HYPERLINK("https://drive.google.com/file/d/1ZAj-sj7MJy4duZT9Ui801hWstxsRnO8M/view?usp=drivesdk","https://drive.google.com/file/d/1ZAj-sj7MJy4duZT9Ui801hWstxsRnO8M/view?usp=drivesdk")</f>
        <v>https://drive.google.com/file/d/1ZAj-sj7MJy4duZT9Ui801hWstxsRnO8M/view?usp=drivesdk</v>
      </c>
      <c r="G342" s="7" t="s">
        <v>2118</v>
      </c>
      <c r="H342" s="73" t="s">
        <v>222</v>
      </c>
      <c r="I342" s="10"/>
      <c r="J342" s="8">
        <v>15.8</v>
      </c>
      <c r="K342" s="8">
        <v>1704</v>
      </c>
      <c r="L342" s="11" t="s">
        <v>2119</v>
      </c>
      <c r="M342" s="39" t="s">
        <v>265</v>
      </c>
      <c r="N342" s="39" t="s">
        <v>265</v>
      </c>
      <c r="O342" s="38" t="s">
        <v>265</v>
      </c>
    </row>
    <row r="343" spans="1:15" ht="27" customHeight="1">
      <c r="A343" s="5">
        <v>44591</v>
      </c>
      <c r="B343" s="18" t="s">
        <v>15</v>
      </c>
      <c r="C343" s="23" t="s">
        <v>16</v>
      </c>
      <c r="D343" s="7" t="s">
        <v>32</v>
      </c>
      <c r="E343" s="103" t="s">
        <v>2113</v>
      </c>
      <c r="F343" s="85" t="str">
        <f>HYPERLINK("https://drive.google.com/file/d/1ZR7XbpCHqQzvlkZ_JTbq17Z1LZ2sftW7/view?usp=drivesdk","https://drive.google.com/file/d/1ZR7XbpCHqQzvlkZ_JTbq17Z1LZ2sftW7/view?usp=drivesdk")</f>
        <v>https://drive.google.com/file/d/1ZR7XbpCHqQzvlkZ_JTbq17Z1LZ2sftW7/view?usp=drivesdk</v>
      </c>
      <c r="G343" s="7" t="s">
        <v>2114</v>
      </c>
      <c r="H343" s="73" t="s">
        <v>222</v>
      </c>
      <c r="I343" s="10"/>
      <c r="J343" s="8">
        <v>71.400000000000006</v>
      </c>
      <c r="K343" s="8">
        <v>217</v>
      </c>
      <c r="L343" s="11" t="s">
        <v>2115</v>
      </c>
      <c r="M343" s="39" t="s">
        <v>102</v>
      </c>
      <c r="N343" s="43" t="s">
        <v>194</v>
      </c>
      <c r="O343" s="43" t="s">
        <v>195</v>
      </c>
    </row>
    <row r="344" spans="1:15" ht="27" customHeight="1">
      <c r="A344" s="5">
        <v>44590</v>
      </c>
      <c r="B344" s="19" t="s">
        <v>1678</v>
      </c>
      <c r="C344" s="23" t="s">
        <v>1336</v>
      </c>
      <c r="D344" s="7" t="s">
        <v>2109</v>
      </c>
      <c r="E344" s="103" t="s">
        <v>2110</v>
      </c>
      <c r="F344" s="85" t="str">
        <f>HYPERLINK("https://drive.google.com/file/d/1YM_rfX2XacLsfSSUV4YZCaHIXKf7vUSu/view?usp=drivesdk","https://drive.google.com/file/d/1YM_rfX2XacLsfSSUV4YZCaHIXKf7vUSu/view?usp=drivesdk")</f>
        <v>https://drive.google.com/file/d/1YM_rfX2XacLsfSSUV4YZCaHIXKf7vUSu/view?usp=drivesdk</v>
      </c>
      <c r="G344" s="7" t="s">
        <v>2111</v>
      </c>
      <c r="H344" s="73" t="s">
        <v>3203</v>
      </c>
      <c r="I344" s="10"/>
      <c r="J344" s="8">
        <v>16.8</v>
      </c>
      <c r="K344" s="8">
        <v>1326</v>
      </c>
      <c r="L344" s="11" t="s">
        <v>2112</v>
      </c>
      <c r="M344" s="39" t="s">
        <v>265</v>
      </c>
      <c r="N344" s="39" t="s">
        <v>265</v>
      </c>
      <c r="O344" s="39" t="s">
        <v>265</v>
      </c>
    </row>
    <row r="345" spans="1:15" ht="27">
      <c r="A345" s="5">
        <v>44583</v>
      </c>
      <c r="B345" s="6" t="s">
        <v>246</v>
      </c>
      <c r="C345" s="23" t="s">
        <v>1336</v>
      </c>
      <c r="D345" s="7" t="s">
        <v>1892</v>
      </c>
      <c r="E345" s="103" t="s">
        <v>2107</v>
      </c>
      <c r="F345" s="85" t="str">
        <f>HYPERLINK("https://drive.google.com/file/d/1Kzgr3xKLG5D4KXVnw-tymjUvlGI-O1rl/view?usp=drivesdk","https://drive.google.com/file/d/1Kzgr3xKLG5D4KXVnw-tymjUvlGI-O1rl/view?usp=drivesdk")</f>
        <v>https://drive.google.com/file/d/1Kzgr3xKLG5D4KXVnw-tymjUvlGI-O1rl/view?usp=drivesdk</v>
      </c>
      <c r="G345" s="7" t="s">
        <v>1894</v>
      </c>
      <c r="H345" s="95" t="s">
        <v>3208</v>
      </c>
      <c r="I345" s="23"/>
      <c r="J345" s="8">
        <v>86.8</v>
      </c>
      <c r="K345" s="8">
        <v>1862</v>
      </c>
      <c r="L345" s="11" t="s">
        <v>2108</v>
      </c>
      <c r="M345" s="39" t="s">
        <v>1896</v>
      </c>
      <c r="N345" s="43" t="s">
        <v>675</v>
      </c>
      <c r="O345" s="43" t="s">
        <v>1897</v>
      </c>
    </row>
    <row r="346" spans="1:15">
      <c r="A346" s="5">
        <v>44576</v>
      </c>
      <c r="B346" s="18" t="s">
        <v>15</v>
      </c>
      <c r="C346" s="23" t="s">
        <v>16</v>
      </c>
      <c r="D346" s="7" t="s">
        <v>731</v>
      </c>
      <c r="E346" s="103" t="s">
        <v>2105</v>
      </c>
      <c r="F346" s="85" t="str">
        <f>HYPERLINK("https://drive.google.com/file/d/1g3fTacxMj_jjNdQp10JQEy1d6LlvEs5D/view?usp=drivesdk","https://drive.google.com/file/d/1g3fTacxMj_jjNdQp10JQEy1d6LlvEs5D/view?usp=drivesdk")</f>
        <v>https://drive.google.com/file/d/1g3fTacxMj_jjNdQp10JQEy1d6LlvEs5D/view?usp=drivesdk</v>
      </c>
      <c r="G346" s="7" t="s">
        <v>731</v>
      </c>
      <c r="H346" s="95" t="s">
        <v>3344</v>
      </c>
      <c r="I346" s="10"/>
      <c r="J346" s="8">
        <v>190.9</v>
      </c>
      <c r="K346" s="8">
        <v>1118</v>
      </c>
      <c r="L346" s="11" t="s">
        <v>2106</v>
      </c>
      <c r="M346" s="39" t="s">
        <v>22</v>
      </c>
      <c r="N346" s="43" t="s">
        <v>675</v>
      </c>
      <c r="O346" s="43" t="s">
        <v>1584</v>
      </c>
    </row>
    <row r="347" spans="1:15">
      <c r="A347" s="5">
        <v>44571</v>
      </c>
      <c r="B347" s="18" t="s">
        <v>15</v>
      </c>
      <c r="C347" s="23" t="s">
        <v>16</v>
      </c>
      <c r="D347" s="7" t="s">
        <v>360</v>
      </c>
      <c r="E347" s="103" t="s">
        <v>2103</v>
      </c>
      <c r="F347" s="85" t="str">
        <f>HYPERLINK("https://drive.google.com/file/d/1e5g55S6q6-NeAcvCpaXbnmNI3ytfTBYE/view?usp=drivesdk","https://drive.google.com/file/d/1e5g55S6q6-NeAcvCpaXbnmNI3ytfTBYE/view?usp=drivesdk")</f>
        <v>https://drive.google.com/file/d/1e5g55S6q6-NeAcvCpaXbnmNI3ytfTBYE/view?usp=drivesdk</v>
      </c>
      <c r="G347" s="7" t="s">
        <v>360</v>
      </c>
      <c r="H347" s="95" t="s">
        <v>3216</v>
      </c>
      <c r="I347" s="10"/>
      <c r="J347" s="8">
        <v>159.4</v>
      </c>
      <c r="K347" s="8">
        <v>818</v>
      </c>
      <c r="L347" s="11" t="s">
        <v>2104</v>
      </c>
      <c r="M347" s="39" t="s">
        <v>22</v>
      </c>
      <c r="N347" s="43" t="s">
        <v>675</v>
      </c>
      <c r="O347" s="43" t="s">
        <v>1584</v>
      </c>
    </row>
    <row r="348" spans="1:15" ht="27">
      <c r="A348" s="5">
        <v>44570</v>
      </c>
      <c r="B348" s="19" t="s">
        <v>1678</v>
      </c>
      <c r="C348" s="23" t="s">
        <v>1336</v>
      </c>
      <c r="D348" s="7" t="s">
        <v>2100</v>
      </c>
      <c r="E348" s="103" t="s">
        <v>2101</v>
      </c>
      <c r="F348" s="85" t="str">
        <f>HYPERLINK("https://drive.google.com/file/d/10vOTOioaQNqAGE7_GFQHhMk9xsuDJCJN/view?usp=drivesdk","https://drive.google.com/file/d/10vOTOioaQNqAGE7_GFQHhMk9xsuDJCJN/view?usp=drivesdk")</f>
        <v>https://drive.google.com/file/d/10vOTOioaQNqAGE7_GFQHhMk9xsuDJCJN/view?usp=drivesdk</v>
      </c>
      <c r="G348" s="7" t="s">
        <v>2095</v>
      </c>
      <c r="H348" s="73" t="s">
        <v>222</v>
      </c>
      <c r="I348" s="10"/>
      <c r="J348" s="8">
        <v>5.6</v>
      </c>
      <c r="K348" s="8">
        <v>218</v>
      </c>
      <c r="L348" s="11" t="s">
        <v>2102</v>
      </c>
      <c r="M348" s="39" t="s">
        <v>265</v>
      </c>
      <c r="N348" s="39" t="s">
        <v>265</v>
      </c>
      <c r="O348" s="39" t="s">
        <v>265</v>
      </c>
    </row>
    <row r="349" spans="1:15" ht="27">
      <c r="A349" s="5">
        <v>44565</v>
      </c>
      <c r="B349" s="6" t="s">
        <v>246</v>
      </c>
      <c r="C349" s="10" t="s">
        <v>1336</v>
      </c>
      <c r="D349" s="7" t="s">
        <v>2097</v>
      </c>
      <c r="E349" s="66" t="s">
        <v>2098</v>
      </c>
      <c r="F349" s="85" t="str">
        <f>HYPERLINK("https://drive.google.com/file/d/1RRn3CXxkn4NDQYLc5NUUbfmnf8mv6vpu/view?usp=drivesdk","https://drive.google.com/file/d/1RRn3CXxkn4NDQYLc5NUUbfmnf8mv6vpu/view?usp=drivesdk")</f>
        <v>https://drive.google.com/file/d/1RRn3CXxkn4NDQYLc5NUUbfmnf8mv6vpu/view?usp=drivesdk</v>
      </c>
      <c r="G349" s="7" t="s">
        <v>2099</v>
      </c>
      <c r="H349" s="95" t="s">
        <v>3209</v>
      </c>
      <c r="I349" s="10"/>
      <c r="J349" s="8">
        <v>78.3</v>
      </c>
      <c r="K349" s="8">
        <v>708</v>
      </c>
      <c r="L349" s="11" t="s">
        <v>1149</v>
      </c>
      <c r="M349" s="39" t="s">
        <v>1896</v>
      </c>
      <c r="N349" s="43" t="s">
        <v>675</v>
      </c>
      <c r="O349" s="43" t="s">
        <v>1897</v>
      </c>
    </row>
    <row r="350" spans="1:15" ht="18.75" customHeight="1">
      <c r="A350" s="5">
        <v>44564</v>
      </c>
      <c r="B350" s="20" t="s">
        <v>1632</v>
      </c>
      <c r="C350" s="23" t="s">
        <v>1633</v>
      </c>
      <c r="D350" s="7" t="s">
        <v>2093</v>
      </c>
      <c r="E350" s="66" t="s">
        <v>2094</v>
      </c>
      <c r="F350" s="85" t="str">
        <f>HYPERLINK("https://drive.google.com/file/d/1BZX2RHPU-PLesJaZVEfxwwGM91woUyVd/view?usp=drivesdk","https://drive.google.com/file/d/1BZX2RHPU-PLesJaZVEfxwwGM91woUyVd/view?usp=drivesdk")</f>
        <v>https://drive.google.com/file/d/1BZX2RHPU-PLesJaZVEfxwwGM91woUyVd/view?usp=drivesdk</v>
      </c>
      <c r="G350" s="7" t="s">
        <v>2095</v>
      </c>
      <c r="H350" s="73" t="s">
        <v>222</v>
      </c>
      <c r="I350" s="10"/>
      <c r="J350" s="8">
        <v>5.7</v>
      </c>
      <c r="K350" s="8">
        <v>227</v>
      </c>
      <c r="L350" s="11" t="s">
        <v>2096</v>
      </c>
      <c r="M350" s="39" t="s">
        <v>265</v>
      </c>
      <c r="N350" s="39" t="s">
        <v>265</v>
      </c>
      <c r="O350" s="39" t="s">
        <v>265</v>
      </c>
    </row>
    <row r="351" spans="1:15">
      <c r="A351" s="5">
        <v>44563</v>
      </c>
      <c r="B351" s="18" t="s">
        <v>15</v>
      </c>
      <c r="C351" s="23" t="s">
        <v>16</v>
      </c>
      <c r="D351" s="7" t="s">
        <v>2088</v>
      </c>
      <c r="E351" s="66" t="s">
        <v>2089</v>
      </c>
      <c r="F351" s="85" t="str">
        <f>HYPERLINK("https://drive.google.com/file/d/1cDIr5HNHdU3QKfvq_XzShdGok4AC1o2p/view?usp=drivesdk","https://drive.google.com/file/d/1cDIr5HNHdU3QKfvq_XzShdGok4AC1o2p/view?usp=drivesdk")</f>
        <v>https://drive.google.com/file/d/1cDIr5HNHdU3QKfvq_XzShdGok4AC1o2p/view?usp=drivesdk</v>
      </c>
      <c r="G351" s="7" t="s">
        <v>2090</v>
      </c>
      <c r="H351" s="73" t="s">
        <v>222</v>
      </c>
      <c r="I351" s="10"/>
      <c r="J351" s="8">
        <v>28.4</v>
      </c>
      <c r="K351" s="8">
        <v>134</v>
      </c>
      <c r="L351" s="11" t="s">
        <v>2091</v>
      </c>
      <c r="M351" s="39" t="s">
        <v>22</v>
      </c>
      <c r="N351" s="43" t="s">
        <v>675</v>
      </c>
      <c r="O351" s="43" t="s">
        <v>1584</v>
      </c>
    </row>
    <row r="352" spans="1:15" ht="27">
      <c r="A352" s="5">
        <v>44563</v>
      </c>
      <c r="B352" s="18" t="s">
        <v>15</v>
      </c>
      <c r="C352" s="23" t="s">
        <v>16</v>
      </c>
      <c r="D352" s="7" t="s">
        <v>17</v>
      </c>
      <c r="E352" s="66" t="s">
        <v>2092</v>
      </c>
      <c r="F352" s="85" t="str">
        <f>HYPERLINK("https://drive.google.com/file/d/1S3iQY_raYjKhxKEHIkYkdvMFCYsXG6Fl/view?usp=drivesdk","https://drive.google.com/file/d/1S3iQY_raYjKhxKEHIkYkdvMFCYsXG6Fl/view?usp=drivesdk")</f>
        <v>https://drive.google.com/file/d/1S3iQY_raYjKhxKEHIkYkdvMFCYsXG6Fl/view?usp=drivesdk</v>
      </c>
      <c r="G352" s="7" t="s">
        <v>18</v>
      </c>
      <c r="H352" s="73" t="s">
        <v>222</v>
      </c>
      <c r="I352" s="10"/>
      <c r="J352" s="8">
        <v>43.4</v>
      </c>
      <c r="K352" s="8">
        <v>197</v>
      </c>
      <c r="L352" s="11" t="s">
        <v>1087</v>
      </c>
      <c r="M352" s="39" t="s">
        <v>1896</v>
      </c>
      <c r="N352" s="43" t="s">
        <v>675</v>
      </c>
      <c r="O352" s="43" t="s">
        <v>1897</v>
      </c>
    </row>
    <row r="353" spans="1:15" ht="27" customHeight="1">
      <c r="A353" s="5">
        <v>44560</v>
      </c>
      <c r="B353" s="57" t="s">
        <v>1678</v>
      </c>
      <c r="C353" s="23" t="s">
        <v>1336</v>
      </c>
      <c r="D353" s="7" t="s">
        <v>2085</v>
      </c>
      <c r="E353" s="103" t="s">
        <v>2086</v>
      </c>
      <c r="F353" s="85" t="str">
        <f>HYPERLINK("https://drive.google.com/file/d/1q94V6l5SGrkZmR_Q7iXz2W8FdnrDfbSJ/view?usp=drivesdk","https://drive.google.com/file/d/1q94V6l5SGrkZmR_Q7iXz2W8FdnrDfbSJ/view?usp=drivesdk")</f>
        <v>https://drive.google.com/file/d/1q94V6l5SGrkZmR_Q7iXz2W8FdnrDfbSJ/view?usp=drivesdk</v>
      </c>
      <c r="G353" s="7" t="s">
        <v>2087</v>
      </c>
      <c r="H353" s="95" t="s">
        <v>3227</v>
      </c>
      <c r="I353" s="10"/>
      <c r="J353" s="8">
        <v>10</v>
      </c>
      <c r="K353" s="8">
        <v>589</v>
      </c>
      <c r="L353" s="11" t="s">
        <v>1909</v>
      </c>
      <c r="M353" s="39" t="s">
        <v>265</v>
      </c>
      <c r="N353" s="39" t="s">
        <v>265</v>
      </c>
      <c r="O353" s="39" t="s">
        <v>265</v>
      </c>
    </row>
    <row r="354" spans="1:15" ht="27" customHeight="1">
      <c r="A354" s="5">
        <v>44549</v>
      </c>
      <c r="B354" s="19" t="s">
        <v>1678</v>
      </c>
      <c r="C354" s="23" t="s">
        <v>1336</v>
      </c>
      <c r="D354" s="7" t="s">
        <v>2081</v>
      </c>
      <c r="E354" s="103" t="s">
        <v>2082</v>
      </c>
      <c r="F354" s="85" t="str">
        <f>HYPERLINK("https://drive.google.com/file/d/1J93GsGoS5vaaea2Y62FHjGLI9DrFawQe/view?usp=drivesdk","https://drive.google.com/file/d/1J93GsGoS5vaaea2Y62FHjGLI9DrFawQe/view?usp=drivesdk")</f>
        <v>https://drive.google.com/file/d/1J93GsGoS5vaaea2Y62FHjGLI9DrFawQe/view?usp=drivesdk</v>
      </c>
      <c r="G354" s="7" t="s">
        <v>2083</v>
      </c>
      <c r="H354" s="73" t="s">
        <v>222</v>
      </c>
      <c r="I354" s="10"/>
      <c r="J354" s="8">
        <v>66.900000000000006</v>
      </c>
      <c r="K354" s="8">
        <v>211</v>
      </c>
      <c r="L354" s="11" t="s">
        <v>2084</v>
      </c>
      <c r="M354" s="39" t="s">
        <v>265</v>
      </c>
      <c r="N354" s="39" t="s">
        <v>265</v>
      </c>
      <c r="O354" s="39" t="s">
        <v>265</v>
      </c>
    </row>
    <row r="355" spans="1:15" ht="27">
      <c r="A355" s="5">
        <v>44548</v>
      </c>
      <c r="B355" s="19" t="s">
        <v>1678</v>
      </c>
      <c r="C355" s="23" t="s">
        <v>1336</v>
      </c>
      <c r="D355" s="7" t="s">
        <v>2077</v>
      </c>
      <c r="E355" s="103" t="s">
        <v>2078</v>
      </c>
      <c r="F355" s="85" t="str">
        <f>HYPERLINK("https://drive.google.com/file/d/1gH29w4U1y6SgcJ559KfdFrgrbyQOVZqQ/view?usp=drivesdk","https://drive.google.com/file/d/1gH29w4U1y6SgcJ559KfdFrgrbyQOVZqQ/view?usp=drivesdk")</f>
        <v>https://drive.google.com/file/d/1gH29w4U1y6SgcJ559KfdFrgrbyQOVZqQ/view?usp=drivesdk</v>
      </c>
      <c r="G355" s="7" t="s">
        <v>2079</v>
      </c>
      <c r="H355" s="95" t="s">
        <v>3213</v>
      </c>
      <c r="I355" s="10"/>
      <c r="J355" s="8">
        <v>59.3</v>
      </c>
      <c r="K355" s="8">
        <v>2592</v>
      </c>
      <c r="L355" s="11" t="s">
        <v>2080</v>
      </c>
      <c r="M355" s="39" t="s">
        <v>265</v>
      </c>
      <c r="N355" s="39" t="s">
        <v>265</v>
      </c>
      <c r="O355" s="39" t="s">
        <v>265</v>
      </c>
    </row>
    <row r="356" spans="1:15" ht="27" customHeight="1">
      <c r="A356" s="5">
        <v>44542</v>
      </c>
      <c r="B356" s="6" t="s">
        <v>246</v>
      </c>
      <c r="C356" s="23" t="s">
        <v>196</v>
      </c>
      <c r="D356" s="7" t="s">
        <v>2073</v>
      </c>
      <c r="E356" s="103" t="s">
        <v>2074</v>
      </c>
      <c r="F356" s="85" t="str">
        <f>HYPERLINK("https://drive.google.com/file/d/1p22SWa52JbiZ9blSO4ylCOOghmHoi4Ip/view?usp=drivesdk","https://drive.google.com/file/d/1p22SWa52JbiZ9blSO4ylCOOghmHoi4Ip/view?usp=drivesdk")</f>
        <v>https://drive.google.com/file/d/1p22SWa52JbiZ9blSO4ylCOOghmHoi4Ip/view?usp=drivesdk</v>
      </c>
      <c r="G356" s="7" t="s">
        <v>2075</v>
      </c>
      <c r="H356" s="95" t="s">
        <v>3208</v>
      </c>
      <c r="I356" s="23"/>
      <c r="J356" s="8">
        <v>57.4</v>
      </c>
      <c r="K356" s="8">
        <v>711</v>
      </c>
      <c r="L356" s="11" t="s">
        <v>2076</v>
      </c>
      <c r="M356" s="39" t="s">
        <v>1896</v>
      </c>
      <c r="N356" s="43" t="s">
        <v>675</v>
      </c>
      <c r="O356" s="43" t="s">
        <v>1897</v>
      </c>
    </row>
    <row r="357" spans="1:15" ht="27" customHeight="1">
      <c r="A357" s="5">
        <v>44541</v>
      </c>
      <c r="B357" s="19" t="s">
        <v>1678</v>
      </c>
      <c r="C357" s="23" t="s">
        <v>1336</v>
      </c>
      <c r="D357" s="7" t="s">
        <v>2069</v>
      </c>
      <c r="E357" s="103" t="s">
        <v>2070</v>
      </c>
      <c r="F357" s="85" t="str">
        <f>HYPERLINK("https://drive.google.com/file/d/1PNMVbXSdFYBUZHPZltwHPynyn4GSCd0_/view?usp=drivesdk","https://drive.google.com/file/d/1PNMVbXSdFYBUZHPZltwHPynyn4GSCd0_/view?usp=drivesdk")</f>
        <v>https://drive.google.com/file/d/1PNMVbXSdFYBUZHPZltwHPynyn4GSCd0_/view?usp=drivesdk</v>
      </c>
      <c r="G357" s="7" t="s">
        <v>2071</v>
      </c>
      <c r="H357" s="95" t="s">
        <v>3203</v>
      </c>
      <c r="I357" s="10"/>
      <c r="J357" s="8">
        <v>8.6</v>
      </c>
      <c r="K357" s="8">
        <v>704</v>
      </c>
      <c r="L357" s="11" t="s">
        <v>2072</v>
      </c>
      <c r="M357" s="39" t="s">
        <v>265</v>
      </c>
      <c r="N357" s="39" t="s">
        <v>265</v>
      </c>
      <c r="O357" s="39" t="s">
        <v>265</v>
      </c>
    </row>
    <row r="358" spans="1:15" ht="27">
      <c r="A358" s="5">
        <v>44535</v>
      </c>
      <c r="B358" s="19" t="s">
        <v>1678</v>
      </c>
      <c r="C358" s="23" t="s">
        <v>1336</v>
      </c>
      <c r="D358" s="7" t="s">
        <v>2065</v>
      </c>
      <c r="E358" s="66" t="s">
        <v>2066</v>
      </c>
      <c r="F358" s="85" t="str">
        <f>HYPERLINK("https://drive.google.com/file/d/1ZSHtCeZfjniiyv4HYQB-uP-7JH08yJmr/view?usp=drivesdk","https://drive.google.com/file/d/1ZSHtCeZfjniiyv4HYQB-uP-7JH08yJmr/view?usp=drivesdk")</f>
        <v>https://drive.google.com/file/d/1ZSHtCeZfjniiyv4HYQB-uP-7JH08yJmr/view?usp=drivesdk</v>
      </c>
      <c r="G358" s="7" t="s">
        <v>2067</v>
      </c>
      <c r="H358" s="95" t="s">
        <v>3203</v>
      </c>
      <c r="I358" s="10"/>
      <c r="J358" s="8">
        <v>9.4</v>
      </c>
      <c r="K358" s="8">
        <v>1005</v>
      </c>
      <c r="L358" s="11" t="s">
        <v>2068</v>
      </c>
      <c r="M358" s="39" t="s">
        <v>265</v>
      </c>
      <c r="N358" s="39" t="s">
        <v>265</v>
      </c>
      <c r="O358" s="39" t="s">
        <v>265</v>
      </c>
    </row>
    <row r="359" spans="1:15" ht="27" customHeight="1">
      <c r="A359" s="5">
        <v>44534</v>
      </c>
      <c r="B359" s="49" t="s">
        <v>2060</v>
      </c>
      <c r="C359" s="23" t="s">
        <v>1633</v>
      </c>
      <c r="D359" s="7" t="s">
        <v>2061</v>
      </c>
      <c r="E359" s="103" t="s">
        <v>2062</v>
      </c>
      <c r="F359" s="85" t="str">
        <f>HYPERLINK("https://drive.google.com/file/d/1zZPA87x6vhKixoZWtHvwmDPdbX_qS1dX/view?usp=drivesdk","https://drive.google.com/file/d/1zZPA87x6vhKixoZWtHvwmDPdbX_qS1dX/view?usp=drivesdk")</f>
        <v>https://drive.google.com/file/d/1zZPA87x6vhKixoZWtHvwmDPdbX_qS1dX/view?usp=drivesdk</v>
      </c>
      <c r="G359" s="7" t="s">
        <v>2063</v>
      </c>
      <c r="H359" s="95" t="s">
        <v>3208</v>
      </c>
      <c r="I359" s="15" t="s">
        <v>404</v>
      </c>
      <c r="J359" s="8">
        <v>6</v>
      </c>
      <c r="K359" s="8">
        <v>30</v>
      </c>
      <c r="L359" s="11" t="s">
        <v>2064</v>
      </c>
      <c r="M359" s="39" t="s">
        <v>330</v>
      </c>
      <c r="N359" s="43" t="s">
        <v>331</v>
      </c>
      <c r="O359" s="43" t="s">
        <v>332</v>
      </c>
    </row>
    <row r="360" spans="1:15" ht="27" customHeight="1">
      <c r="A360" s="5">
        <v>44528</v>
      </c>
      <c r="B360" s="19" t="s">
        <v>1678</v>
      </c>
      <c r="C360" s="23" t="s">
        <v>1336</v>
      </c>
      <c r="D360" s="7" t="s">
        <v>1879</v>
      </c>
      <c r="E360" s="103" t="s">
        <v>2058</v>
      </c>
      <c r="F360" s="85" t="str">
        <f>HYPERLINK("https://drive.google.com/file/d/15HOccA4g9uqxUX4AVf-rLrBp5Ee0YmVm/view?usp=drivesdk","https://drive.google.com/file/d/15HOccA4g9uqxUX4AVf-rLrBp5Ee0YmVm/view?usp=drivesdk")</f>
        <v>https://drive.google.com/file/d/15HOccA4g9uqxUX4AVf-rLrBp5Ee0YmVm/view?usp=drivesdk</v>
      </c>
      <c r="G360" s="7" t="s">
        <v>1881</v>
      </c>
      <c r="H360" s="95" t="s">
        <v>3203</v>
      </c>
      <c r="I360" s="10"/>
      <c r="J360" s="8">
        <v>10</v>
      </c>
      <c r="K360" s="8">
        <v>790</v>
      </c>
      <c r="L360" s="11" t="s">
        <v>2059</v>
      </c>
      <c r="M360" s="39" t="s">
        <v>265</v>
      </c>
      <c r="N360" s="39" t="s">
        <v>265</v>
      </c>
      <c r="O360" s="39" t="s">
        <v>265</v>
      </c>
    </row>
    <row r="361" spans="1:15" ht="27">
      <c r="A361" s="5">
        <v>44527</v>
      </c>
      <c r="B361" s="19" t="s">
        <v>1678</v>
      </c>
      <c r="C361" s="23" t="s">
        <v>1336</v>
      </c>
      <c r="D361" s="7" t="s">
        <v>2054</v>
      </c>
      <c r="E361" s="103" t="s">
        <v>2055</v>
      </c>
      <c r="F361" s="85" t="str">
        <f>HYPERLINK("https://drive.google.com/file/d/1qKePJcbFT--LH-FqVbHnOc7kCv7NMPpM/view?usp=drivesdk","https://drive.google.com/file/d/1qKePJcbFT--LH-FqVbHnOc7kCv7NMPpM/view?usp=drivesdk")</f>
        <v>https://drive.google.com/file/d/1qKePJcbFT--LH-FqVbHnOc7kCv7NMPpM/view?usp=drivesdk</v>
      </c>
      <c r="G361" s="7" t="s">
        <v>2056</v>
      </c>
      <c r="H361" s="95" t="s">
        <v>3203</v>
      </c>
      <c r="I361" s="10"/>
      <c r="J361" s="8">
        <v>14.7</v>
      </c>
      <c r="K361" s="8">
        <v>754</v>
      </c>
      <c r="L361" s="11" t="s">
        <v>2057</v>
      </c>
      <c r="M361" s="39" t="s">
        <v>265</v>
      </c>
      <c r="N361" s="39" t="s">
        <v>265</v>
      </c>
      <c r="O361" s="39" t="s">
        <v>265</v>
      </c>
    </row>
    <row r="362" spans="1:15" ht="27">
      <c r="A362" s="5">
        <v>44523</v>
      </c>
      <c r="B362" s="6" t="s">
        <v>246</v>
      </c>
      <c r="C362" s="23" t="s">
        <v>1336</v>
      </c>
      <c r="D362" s="7" t="s">
        <v>2051</v>
      </c>
      <c r="E362" s="103" t="s">
        <v>2052</v>
      </c>
      <c r="F362" s="85" t="str">
        <f>HYPERLINK("https://drive.google.com/file/d/1sV4zHOFK5UWhsLnjBJ8p8DYSGCRq8Ojw/view?usp=drivesdk","https://drive.google.com/file/d/1sV4zHOFK5UWhsLnjBJ8p8DYSGCRq8Ojw/view?usp=drivesdk")</f>
        <v>https://drive.google.com/file/d/1sV4zHOFK5UWhsLnjBJ8p8DYSGCRq8Ojw/view?usp=drivesdk</v>
      </c>
      <c r="G362" s="7" t="s">
        <v>2053</v>
      </c>
      <c r="H362" s="95" t="s">
        <v>3203</v>
      </c>
      <c r="I362" s="15" t="s">
        <v>404</v>
      </c>
      <c r="J362" s="8">
        <v>25.6</v>
      </c>
      <c r="K362" s="8">
        <v>1222</v>
      </c>
      <c r="L362" s="11" t="s">
        <v>2012</v>
      </c>
      <c r="M362" s="39" t="s">
        <v>1896</v>
      </c>
      <c r="N362" s="43" t="s">
        <v>675</v>
      </c>
      <c r="O362" s="43" t="s">
        <v>1897</v>
      </c>
    </row>
    <row r="363" spans="1:15">
      <c r="A363" s="5">
        <v>44520</v>
      </c>
      <c r="B363" s="6" t="s">
        <v>246</v>
      </c>
      <c r="C363" s="23" t="s">
        <v>1336</v>
      </c>
      <c r="D363" s="7" t="s">
        <v>2048</v>
      </c>
      <c r="E363" s="103" t="s">
        <v>2049</v>
      </c>
      <c r="F363" s="85" t="str">
        <f>HYPERLINK("https://drive.google.com/file/d/1S1j6IKQXofFzX_iP0p3GrMFIvJS8gw7n/view?usp=drivesdk","https://drive.google.com/file/d/1S1j6IKQXofFzX_iP0p3GrMFIvJS8gw7n/view?usp=drivesdk")</f>
        <v>https://drive.google.com/file/d/1S1j6IKQXofFzX_iP0p3GrMFIvJS8gw7n/view?usp=drivesdk</v>
      </c>
      <c r="G363" s="7" t="s">
        <v>2048</v>
      </c>
      <c r="H363" s="95" t="s">
        <v>3245</v>
      </c>
      <c r="I363" s="10"/>
      <c r="J363" s="8">
        <v>33</v>
      </c>
      <c r="K363" s="8">
        <v>1094</v>
      </c>
      <c r="L363" s="11" t="s">
        <v>2050</v>
      </c>
      <c r="M363" s="39" t="s">
        <v>330</v>
      </c>
      <c r="N363" s="43" t="s">
        <v>331</v>
      </c>
      <c r="O363" s="43" t="s">
        <v>332</v>
      </c>
    </row>
    <row r="364" spans="1:15">
      <c r="A364" s="5">
        <v>44514</v>
      </c>
      <c r="B364" s="18" t="s">
        <v>15</v>
      </c>
      <c r="C364" s="23" t="s">
        <v>16</v>
      </c>
      <c r="D364" s="7" t="s">
        <v>2044</v>
      </c>
      <c r="E364" s="103" t="s">
        <v>2045</v>
      </c>
      <c r="F364" s="85" t="str">
        <f>HYPERLINK("https://drive.google.com/file/d/1alfoMlA6v4JhbFSHqJpphy3lnYG8m9KC/view?usp=drivesdk","https://drive.google.com/file/d/1alfoMlA6v4JhbFSHqJpphy3lnYG8m9KC/view?usp=drivesdk")</f>
        <v>https://drive.google.com/file/d/1alfoMlA6v4JhbFSHqJpphy3lnYG8m9KC/view?usp=drivesdk</v>
      </c>
      <c r="G364" s="7" t="s">
        <v>2046</v>
      </c>
      <c r="H364" s="95" t="s">
        <v>3208</v>
      </c>
      <c r="I364" s="15" t="s">
        <v>404</v>
      </c>
      <c r="J364" s="8">
        <v>77.7</v>
      </c>
      <c r="K364" s="8">
        <v>491</v>
      </c>
      <c r="L364" s="11" t="s">
        <v>2047</v>
      </c>
      <c r="M364" s="39" t="s">
        <v>22</v>
      </c>
      <c r="N364" s="43" t="s">
        <v>675</v>
      </c>
      <c r="O364" s="43" t="s">
        <v>879</v>
      </c>
    </row>
    <row r="365" spans="1:15">
      <c r="A365" s="5">
        <v>44513</v>
      </c>
      <c r="B365" s="19" t="s">
        <v>1678</v>
      </c>
      <c r="C365" s="23" t="s">
        <v>1336</v>
      </c>
      <c r="D365" s="7" t="s">
        <v>2040</v>
      </c>
      <c r="E365" s="66" t="s">
        <v>2041</v>
      </c>
      <c r="F365" s="85" t="str">
        <f>HYPERLINK("https://drive.google.com/file/d/1loOO4DC8HloTz46JPAQaHjf4UZWVCdY9/view?usp=drivesdk","https://drive.google.com/file/d/1loOO4DC8HloTz46JPAQaHjf4UZWVCdY9/view?usp=drivesdk")</f>
        <v>https://drive.google.com/file/d/1loOO4DC8HloTz46JPAQaHjf4UZWVCdY9/view?usp=drivesdk</v>
      </c>
      <c r="G365" s="7" t="s">
        <v>2042</v>
      </c>
      <c r="H365" s="95" t="s">
        <v>3203</v>
      </c>
      <c r="I365" s="10"/>
      <c r="J365" s="8">
        <v>7.9</v>
      </c>
      <c r="K365" s="8">
        <v>588</v>
      </c>
      <c r="L365" s="11" t="s">
        <v>2043</v>
      </c>
      <c r="M365" s="39" t="s">
        <v>265</v>
      </c>
      <c r="N365" s="39" t="s">
        <v>265</v>
      </c>
      <c r="O365" s="39" t="s">
        <v>265</v>
      </c>
    </row>
    <row r="366" spans="1:15" ht="27">
      <c r="A366" s="5">
        <v>44507</v>
      </c>
      <c r="B366" s="6" t="s">
        <v>246</v>
      </c>
      <c r="C366" s="23" t="s">
        <v>1336</v>
      </c>
      <c r="D366" s="7" t="s">
        <v>2036</v>
      </c>
      <c r="E366" s="66" t="s">
        <v>2037</v>
      </c>
      <c r="F366" s="85" t="str">
        <f>HYPERLINK("https://drive.google.com/file/d/1IasiEzNMaXQe7p6aon9DvMiQUicrCXuz/view?usp=drivesdk","https://drive.google.com/file/d/1IasiEzNMaXQe7p6aon9DvMiQUicrCXuz/view?usp=drivesdk")</f>
        <v>https://drive.google.com/file/d/1IasiEzNMaXQe7p6aon9DvMiQUicrCXuz/view?usp=drivesdk</v>
      </c>
      <c r="G366" s="7" t="s">
        <v>2038</v>
      </c>
      <c r="H366" s="95" t="s">
        <v>3212</v>
      </c>
      <c r="I366" s="15" t="s">
        <v>404</v>
      </c>
      <c r="J366" s="8">
        <v>8.4</v>
      </c>
      <c r="K366" s="8">
        <v>844</v>
      </c>
      <c r="L366" s="11" t="s">
        <v>2039</v>
      </c>
      <c r="M366" s="39" t="s">
        <v>1896</v>
      </c>
      <c r="N366" s="43" t="s">
        <v>675</v>
      </c>
      <c r="O366" s="43" t="s">
        <v>1897</v>
      </c>
    </row>
    <row r="367" spans="1:15" ht="27">
      <c r="A367" s="5">
        <v>44503</v>
      </c>
      <c r="B367" s="6" t="s">
        <v>246</v>
      </c>
      <c r="C367" s="23" t="s">
        <v>1336</v>
      </c>
      <c r="D367" s="7" t="s">
        <v>2032</v>
      </c>
      <c r="E367" s="103" t="s">
        <v>2033</v>
      </c>
      <c r="F367" s="85" t="str">
        <f>HYPERLINK("https://drive.google.com/file/d/1b3C3dhh8he8uNOclQLEyZFy28CvwkqU8/view?usp=drivesdk","https://drive.google.com/file/d/1b3C3dhh8he8uNOclQLEyZFy28CvwkqU8/view?usp=drivesdk")</f>
        <v>https://drive.google.com/file/d/1b3C3dhh8he8uNOclQLEyZFy28CvwkqU8/view?usp=drivesdk</v>
      </c>
      <c r="G367" s="7" t="s">
        <v>2034</v>
      </c>
      <c r="H367" s="95" t="s">
        <v>3203</v>
      </c>
      <c r="I367" s="15" t="s">
        <v>404</v>
      </c>
      <c r="J367" s="8">
        <v>48.8</v>
      </c>
      <c r="K367" s="8">
        <v>3074</v>
      </c>
      <c r="L367" s="11" t="s">
        <v>2035</v>
      </c>
      <c r="M367" s="39" t="s">
        <v>1896</v>
      </c>
      <c r="N367" s="43" t="s">
        <v>675</v>
      </c>
      <c r="O367" s="43" t="s">
        <v>1897</v>
      </c>
    </row>
    <row r="368" spans="1:15" ht="27">
      <c r="A368" s="5">
        <v>44502</v>
      </c>
      <c r="B368" s="19" t="s">
        <v>1678</v>
      </c>
      <c r="C368" s="23" t="s">
        <v>2027</v>
      </c>
      <c r="D368" s="7" t="s">
        <v>2028</v>
      </c>
      <c r="E368" s="104" t="s">
        <v>2029</v>
      </c>
      <c r="F368" s="85" t="str">
        <f>HYPERLINK("https://drive.google.com/file/d/1LEJyYqQaxUt0i4vGmsQFu4Juj2JcEp-G/view?usp=drivesdk","https://drive.google.com/file/d/1LEJyYqQaxUt0i4vGmsQFu4Juj2JcEp-G/view?usp=drivesdk")</f>
        <v>https://drive.google.com/file/d/1LEJyYqQaxUt0i4vGmsQFu4Juj2JcEp-G/view?usp=drivesdk</v>
      </c>
      <c r="G368" s="7" t="s">
        <v>2030</v>
      </c>
      <c r="H368" s="95" t="s">
        <v>3202</v>
      </c>
      <c r="I368" s="15" t="s">
        <v>404</v>
      </c>
      <c r="J368" s="8">
        <v>5.7</v>
      </c>
      <c r="K368" s="8">
        <v>215</v>
      </c>
      <c r="L368" s="11" t="s">
        <v>2031</v>
      </c>
      <c r="M368" s="39" t="s">
        <v>265</v>
      </c>
      <c r="N368" s="39" t="s">
        <v>265</v>
      </c>
      <c r="O368" s="38" t="s">
        <v>265</v>
      </c>
    </row>
    <row r="369" spans="1:15">
      <c r="A369" s="5">
        <v>44499</v>
      </c>
      <c r="B369" s="19" t="s">
        <v>1678</v>
      </c>
      <c r="C369" s="23" t="s">
        <v>1336</v>
      </c>
      <c r="D369" s="7" t="s">
        <v>2023</v>
      </c>
      <c r="E369" s="103" t="s">
        <v>2024</v>
      </c>
      <c r="F369" s="85" t="str">
        <f>HYPERLINK("https://drive.google.com/file/d/10sWrriAmT7PUwoWy43DwWPWdJL0CSNIp/view?usp=drivesdk","https://drive.google.com/file/d/10sWrriAmT7PUwoWy43DwWPWdJL0CSNIp/view?usp=drivesdk")</f>
        <v>https://drive.google.com/file/d/10sWrriAmT7PUwoWy43DwWPWdJL0CSNIp/view?usp=drivesdk</v>
      </c>
      <c r="G369" s="7" t="s">
        <v>2025</v>
      </c>
      <c r="H369" s="73" t="s">
        <v>222</v>
      </c>
      <c r="I369" s="15" t="s">
        <v>404</v>
      </c>
      <c r="J369" s="8">
        <v>6.8</v>
      </c>
      <c r="K369" s="8">
        <v>726</v>
      </c>
      <c r="L369" s="11" t="s">
        <v>2026</v>
      </c>
      <c r="M369" s="39" t="s">
        <v>265</v>
      </c>
      <c r="N369" s="39" t="s">
        <v>265</v>
      </c>
      <c r="O369" s="39" t="s">
        <v>265</v>
      </c>
    </row>
    <row r="370" spans="1:15" ht="13.5">
      <c r="A370" s="5">
        <v>44493</v>
      </c>
      <c r="B370" s="18" t="s">
        <v>15</v>
      </c>
      <c r="C370" s="23" t="s">
        <v>16</v>
      </c>
      <c r="D370" s="7" t="s">
        <v>2019</v>
      </c>
      <c r="E370" s="66" t="s">
        <v>2020</v>
      </c>
      <c r="F370" s="85" t="str">
        <f>HYPERLINK("https://drive.google.com/file/d/1Uc8vxWSvYxBHRZ4W1Vsbe56wYDpPYZE3/view?usp=drivesdk","https://drive.google.com/file/d/1Uc8vxWSvYxBHRZ4W1Vsbe56wYDpPYZE3/view?usp=drivesdk")</f>
        <v>https://drive.google.com/file/d/1Uc8vxWSvYxBHRZ4W1Vsbe56wYDpPYZE3/view?usp=drivesdk</v>
      </c>
      <c r="G370" s="7" t="s">
        <v>2021</v>
      </c>
      <c r="H370" s="95" t="s">
        <v>3202</v>
      </c>
      <c r="I370" s="34" t="s">
        <v>89</v>
      </c>
      <c r="J370" s="8">
        <v>28.4</v>
      </c>
      <c r="K370" s="8">
        <v>984</v>
      </c>
      <c r="L370" s="11" t="s">
        <v>2022</v>
      </c>
      <c r="M370" s="39" t="s">
        <v>22</v>
      </c>
      <c r="N370" s="43" t="s">
        <v>675</v>
      </c>
      <c r="O370" s="43" t="s">
        <v>879</v>
      </c>
    </row>
    <row r="371" spans="1:15" ht="27" customHeight="1">
      <c r="A371" s="5">
        <v>44492</v>
      </c>
      <c r="B371" s="19" t="s">
        <v>1678</v>
      </c>
      <c r="C371" s="23" t="s">
        <v>1336</v>
      </c>
      <c r="D371" s="7" t="s">
        <v>2016</v>
      </c>
      <c r="E371" s="103" t="s">
        <v>2017</v>
      </c>
      <c r="F371" s="85" t="str">
        <f>HYPERLINK("https://drive.google.com/file/d/1ffsl3SrpMhAE8CxnAw5K5o_Mqqbse0ib/view?usp=drivesdk","https://drive.google.com/file/d/1ffsl3SrpMhAE8CxnAw5K5o_Mqqbse0ib/view?usp=drivesdk")</f>
        <v>https://drive.google.com/file/d/1ffsl3SrpMhAE8CxnAw5K5o_Mqqbse0ib/view?usp=drivesdk</v>
      </c>
      <c r="G371" s="7" t="s">
        <v>2018</v>
      </c>
      <c r="H371" s="95" t="s">
        <v>3202</v>
      </c>
      <c r="I371" s="15" t="s">
        <v>404</v>
      </c>
      <c r="J371" s="8">
        <v>14.6</v>
      </c>
      <c r="K371" s="8">
        <v>910</v>
      </c>
      <c r="L371" s="11" t="s">
        <v>1163</v>
      </c>
      <c r="M371" s="39" t="s">
        <v>265</v>
      </c>
      <c r="N371" s="39" t="s">
        <v>265</v>
      </c>
      <c r="O371" s="38" t="s">
        <v>265</v>
      </c>
    </row>
    <row r="372" spans="1:15" ht="27" customHeight="1">
      <c r="A372" s="5">
        <v>44485</v>
      </c>
      <c r="B372" s="18" t="s">
        <v>15</v>
      </c>
      <c r="C372" s="23" t="s">
        <v>16</v>
      </c>
      <c r="D372" s="7" t="s">
        <v>2013</v>
      </c>
      <c r="E372" s="103" t="s">
        <v>2014</v>
      </c>
      <c r="F372" s="85" t="str">
        <f>HYPERLINK("https://drive.google.com/file/d/1__0mg7mK-GfwLsQLG-TmF7PrxtwyAxJq/view?usp=drivesdk","https://drive.google.com/file/d/1__0mg7mK-GfwLsQLG-TmF7PrxtwyAxJq/view?usp=drivesdk")</f>
        <v>https://drive.google.com/file/d/1__0mg7mK-GfwLsQLG-TmF7PrxtwyAxJq/view?usp=drivesdk</v>
      </c>
      <c r="G372" s="7" t="s">
        <v>755</v>
      </c>
      <c r="H372" s="95" t="s">
        <v>3224</v>
      </c>
      <c r="I372" s="10"/>
      <c r="J372" s="8">
        <v>46.8</v>
      </c>
      <c r="K372" s="8">
        <v>1595</v>
      </c>
      <c r="L372" s="11" t="s">
        <v>2015</v>
      </c>
      <c r="M372" s="39" t="s">
        <v>1896</v>
      </c>
      <c r="N372" s="43" t="s">
        <v>675</v>
      </c>
      <c r="O372" s="43" t="s">
        <v>1897</v>
      </c>
    </row>
    <row r="373" spans="1:15" ht="14.25" customHeight="1">
      <c r="A373" s="5">
        <v>44479</v>
      </c>
      <c r="B373" s="19" t="s">
        <v>1678</v>
      </c>
      <c r="C373" s="23" t="s">
        <v>1336</v>
      </c>
      <c r="D373" s="7" t="s">
        <v>2009</v>
      </c>
      <c r="E373" s="103" t="s">
        <v>2010</v>
      </c>
      <c r="F373" s="85" t="str">
        <f>HYPERLINK("https://drive.google.com/file/d/13y7hALxE0zjFaiv1dZpnBHJCbLLU_UmG/view?usp=drivesdk","https://drive.google.com/file/d/13y7hALxE0zjFaiv1dZpnBHJCbLLU_UmG/view?usp=drivesdk")</f>
        <v>https://drive.google.com/file/d/13y7hALxE0zjFaiv1dZpnBHJCbLLU_UmG/view?usp=drivesdk</v>
      </c>
      <c r="G373" s="7" t="s">
        <v>2011</v>
      </c>
      <c r="H373" s="95" t="s">
        <v>3208</v>
      </c>
      <c r="I373" s="10"/>
      <c r="J373" s="8">
        <v>9.3000000000000007</v>
      </c>
      <c r="K373" s="8">
        <v>828</v>
      </c>
      <c r="L373" s="11" t="s">
        <v>2012</v>
      </c>
      <c r="M373" s="39" t="s">
        <v>265</v>
      </c>
      <c r="N373" s="39" t="s">
        <v>265</v>
      </c>
      <c r="O373" s="39" t="s">
        <v>265</v>
      </c>
    </row>
    <row r="374" spans="1:15" ht="14.25" customHeight="1">
      <c r="A374" s="5">
        <v>44473</v>
      </c>
      <c r="B374" s="19" t="s">
        <v>1678</v>
      </c>
      <c r="C374" s="23" t="s">
        <v>1336</v>
      </c>
      <c r="D374" s="7" t="s">
        <v>2005</v>
      </c>
      <c r="E374" s="66" t="s">
        <v>2006</v>
      </c>
      <c r="F374" s="85" t="str">
        <f>HYPERLINK("https://drive.google.com/file/d/1PTZaxpQRbXMRpzkYPadu1sVFo0SBxBpI/view?usp=drivesdk","https://drive.google.com/file/d/1PTZaxpQRbXMRpzkYPadu1sVFo0SBxBpI/view?usp=drivesdk")</f>
        <v>https://drive.google.com/file/d/1PTZaxpQRbXMRpzkYPadu1sVFo0SBxBpI/view?usp=drivesdk</v>
      </c>
      <c r="G374" s="7" t="s">
        <v>2007</v>
      </c>
      <c r="H374" s="95" t="s">
        <v>3202</v>
      </c>
      <c r="I374" s="23" t="s">
        <v>1886</v>
      </c>
      <c r="J374" s="8">
        <v>6</v>
      </c>
      <c r="K374" s="8">
        <v>149</v>
      </c>
      <c r="L374" s="11" t="s">
        <v>2008</v>
      </c>
      <c r="M374" s="39" t="s">
        <v>265</v>
      </c>
      <c r="N374" s="39" t="s">
        <v>265</v>
      </c>
      <c r="O374" s="39" t="s">
        <v>265</v>
      </c>
    </row>
    <row r="375" spans="1:15" ht="27">
      <c r="A375" s="5">
        <v>44472</v>
      </c>
      <c r="B375" s="19" t="s">
        <v>1678</v>
      </c>
      <c r="C375" s="23" t="s">
        <v>1336</v>
      </c>
      <c r="D375" s="7" t="s">
        <v>2001</v>
      </c>
      <c r="E375" s="103" t="s">
        <v>2002</v>
      </c>
      <c r="F375" s="85" t="str">
        <f>HYPERLINK("https://drive.google.com/file/d/19w4njSprT7UTgPGW6E_kVfaKqkKCVI9Y/view?usp=drivesdk","https://drive.google.com/file/d/19w4njSprT7UTgPGW6E_kVfaKqkKCVI9Y/view?usp=drivesdk")</f>
        <v>https://drive.google.com/file/d/19w4njSprT7UTgPGW6E_kVfaKqkKCVI9Y/view?usp=drivesdk</v>
      </c>
      <c r="G375" s="7" t="s">
        <v>2003</v>
      </c>
      <c r="H375" s="95" t="s">
        <v>3202</v>
      </c>
      <c r="I375" s="23" t="s">
        <v>1886</v>
      </c>
      <c r="J375" s="8">
        <v>10.6</v>
      </c>
      <c r="K375" s="8">
        <v>949</v>
      </c>
      <c r="L375" s="11" t="s">
        <v>2004</v>
      </c>
      <c r="M375" s="39" t="s">
        <v>265</v>
      </c>
      <c r="N375" s="39" t="s">
        <v>265</v>
      </c>
      <c r="O375" s="39" t="s">
        <v>265</v>
      </c>
    </row>
    <row r="376" spans="1:15" ht="27" customHeight="1">
      <c r="A376" s="5">
        <v>44471</v>
      </c>
      <c r="B376" s="19" t="s">
        <v>1678</v>
      </c>
      <c r="C376" s="23" t="s">
        <v>1336</v>
      </c>
      <c r="D376" s="7" t="s">
        <v>1998</v>
      </c>
      <c r="E376" s="103" t="s">
        <v>1999</v>
      </c>
      <c r="F376" s="85" t="str">
        <f>HYPERLINK("https://drive.google.com/file/d/1hNoVSCX1dEvuVWW5sIMaANrj3vyZws8G/view?usp=drivesdk","https://drive.google.com/file/d/1hNoVSCX1dEvuVWW5sIMaANrj3vyZws8G/view?usp=drivesdk")</f>
        <v>https://drive.google.com/file/d/1hNoVSCX1dEvuVWW5sIMaANrj3vyZws8G/view?usp=drivesdk</v>
      </c>
      <c r="G376" s="7" t="s">
        <v>2000</v>
      </c>
      <c r="H376" s="95" t="s">
        <v>3202</v>
      </c>
      <c r="I376" s="10" t="s">
        <v>1886</v>
      </c>
      <c r="J376" s="8">
        <v>7.1</v>
      </c>
      <c r="K376" s="8">
        <v>1550</v>
      </c>
      <c r="L376" s="11" t="s">
        <v>988</v>
      </c>
      <c r="M376" s="39" t="s">
        <v>265</v>
      </c>
      <c r="N376" s="39" t="s">
        <v>265</v>
      </c>
      <c r="O376" s="39" t="s">
        <v>265</v>
      </c>
    </row>
    <row r="377" spans="1:15" ht="27" customHeight="1">
      <c r="A377" s="5">
        <v>44462</v>
      </c>
      <c r="B377" s="18" t="s">
        <v>15</v>
      </c>
      <c r="C377" s="23" t="s">
        <v>16</v>
      </c>
      <c r="D377" s="7" t="s">
        <v>1995</v>
      </c>
      <c r="E377" s="103" t="s">
        <v>1996</v>
      </c>
      <c r="F377" s="85" t="str">
        <f>HYPERLINK("https://drive.google.com/file/d/1ENzkw6QIwzEmDcEW4FOeAfO2RlVZHe9e/view?usp=drivesdk","https://drive.google.com/file/d/1ENzkw6QIwzEmDcEW4FOeAfO2RlVZHe9e/view?usp=drivesdk")</f>
        <v>https://drive.google.com/file/d/1ENzkw6QIwzEmDcEW4FOeAfO2RlVZHe9e/view?usp=drivesdk</v>
      </c>
      <c r="G377" s="7" t="s">
        <v>1997</v>
      </c>
      <c r="H377" s="95" t="s">
        <v>3224</v>
      </c>
      <c r="I377" s="10"/>
      <c r="J377" s="8">
        <v>102.6</v>
      </c>
      <c r="K377" s="8">
        <v>1621</v>
      </c>
      <c r="L377" s="11" t="s">
        <v>1464</v>
      </c>
      <c r="M377" s="39" t="s">
        <v>22</v>
      </c>
      <c r="N377" s="43" t="s">
        <v>675</v>
      </c>
      <c r="O377" s="43" t="s">
        <v>879</v>
      </c>
    </row>
    <row r="378" spans="1:15" ht="27" customHeight="1">
      <c r="A378" s="5">
        <v>44459</v>
      </c>
      <c r="B378" s="18" t="s">
        <v>15</v>
      </c>
      <c r="C378" s="23" t="s">
        <v>16</v>
      </c>
      <c r="D378" s="7" t="s">
        <v>276</v>
      </c>
      <c r="E378" s="103" t="s">
        <v>1994</v>
      </c>
      <c r="F378" s="85" t="str">
        <f>HYPERLINK("https://drive.google.com/file/d/1TefokQyZNBIj14qAQTRnyszF0blyvz0e/view?usp=drivesdk","https://drive.google.com/file/d/1TefokQyZNBIj14qAQTRnyszF0blyvz0e/view?usp=drivesdk")</f>
        <v>https://drive.google.com/file/d/1TefokQyZNBIj14qAQTRnyszF0blyvz0e/view?usp=drivesdk</v>
      </c>
      <c r="G378" s="7" t="s">
        <v>383</v>
      </c>
      <c r="H378" s="95" t="s">
        <v>3202</v>
      </c>
      <c r="I378" s="23" t="s">
        <v>276</v>
      </c>
      <c r="J378" s="8">
        <v>41.4</v>
      </c>
      <c r="K378" s="8">
        <v>1217</v>
      </c>
      <c r="L378" s="11">
        <v>0.1541666666666667</v>
      </c>
      <c r="M378" s="39" t="s">
        <v>22</v>
      </c>
      <c r="N378" s="43" t="s">
        <v>675</v>
      </c>
      <c r="O378" s="42" t="s">
        <v>879</v>
      </c>
    </row>
    <row r="379" spans="1:15" ht="27">
      <c r="A379" s="5">
        <v>44458</v>
      </c>
      <c r="B379" s="6" t="s">
        <v>246</v>
      </c>
      <c r="C379" s="23" t="s">
        <v>1336</v>
      </c>
      <c r="D379" s="7" t="s">
        <v>1990</v>
      </c>
      <c r="E379" s="103" t="s">
        <v>1991</v>
      </c>
      <c r="F379" s="85" t="str">
        <f>HYPERLINK("https://drive.google.com/file/d/16c01Qz9sxieAeKgwz_YgjyUR8_B6F_YB/view?usp=drivesdk","https://drive.google.com/file/d/16c01Qz9sxieAeKgwz_YgjyUR8_B6F_YB/view?usp=drivesdk")</f>
        <v>https://drive.google.com/file/d/16c01Qz9sxieAeKgwz_YgjyUR8_B6F_YB/view?usp=drivesdk</v>
      </c>
      <c r="G379" s="7" t="s">
        <v>1992</v>
      </c>
      <c r="H379" s="95" t="s">
        <v>3202</v>
      </c>
      <c r="I379" s="10" t="s">
        <v>1886</v>
      </c>
      <c r="J379" s="8">
        <v>7.1</v>
      </c>
      <c r="K379" s="8">
        <v>180</v>
      </c>
      <c r="L379" s="11" t="s">
        <v>1993</v>
      </c>
      <c r="M379" s="39" t="s">
        <v>1896</v>
      </c>
      <c r="N379" s="43" t="s">
        <v>675</v>
      </c>
      <c r="O379" s="43" t="s">
        <v>1897</v>
      </c>
    </row>
    <row r="380" spans="1:15" ht="14.25" customHeight="1">
      <c r="A380" s="5">
        <v>44436</v>
      </c>
      <c r="B380" s="19" t="s">
        <v>1678</v>
      </c>
      <c r="C380" s="23" t="s">
        <v>1336</v>
      </c>
      <c r="D380" s="7" t="s">
        <v>1986</v>
      </c>
      <c r="E380" s="103" t="s">
        <v>1987</v>
      </c>
      <c r="F380" s="85" t="str">
        <f>HYPERLINK("https://drive.google.com/file/d/1YDY8i9VXdz2Kfdk8aqfSczPDE_4hENsO/view?usp=drivesdk","https://drive.google.com/file/d/1YDY8i9VXdz2Kfdk8aqfSczPDE_4hENsO/view?usp=drivesdk")</f>
        <v>https://drive.google.com/file/d/1YDY8i9VXdz2Kfdk8aqfSczPDE_4hENsO/view?usp=drivesdk</v>
      </c>
      <c r="G380" s="7" t="s">
        <v>1988</v>
      </c>
      <c r="H380" s="95" t="s">
        <v>3202</v>
      </c>
      <c r="I380" s="10" t="s">
        <v>1886</v>
      </c>
      <c r="J380" s="8">
        <v>20.3</v>
      </c>
      <c r="K380" s="8">
        <v>2549</v>
      </c>
      <c r="L380" s="11" t="s">
        <v>1989</v>
      </c>
      <c r="M380" s="39" t="s">
        <v>265</v>
      </c>
      <c r="N380" s="39" t="s">
        <v>265</v>
      </c>
      <c r="O380" s="39" t="s">
        <v>265</v>
      </c>
    </row>
    <row r="381" spans="1:15" ht="27">
      <c r="A381" s="5">
        <v>44402</v>
      </c>
      <c r="B381" s="18" t="s">
        <v>15</v>
      </c>
      <c r="C381" s="23" t="s">
        <v>223</v>
      </c>
      <c r="D381" s="7" t="s">
        <v>730</v>
      </c>
      <c r="E381" s="103" t="s">
        <v>1984</v>
      </c>
      <c r="F381" s="85" t="str">
        <f>HYPERLINK("https://drive.google.com/file/d/1Al--tpsrsCB2aLie7LxGRwAorx5Ai7yM/view?usp=drivesdk","https://drive.google.com/file/d/1Al--tpsrsCB2aLie7LxGRwAorx5Ai7yM/view?usp=drivesdk")</f>
        <v>https://drive.google.com/file/d/1Al--tpsrsCB2aLie7LxGRwAorx5Ai7yM/view?usp=drivesdk</v>
      </c>
      <c r="G381" s="7" t="s">
        <v>727</v>
      </c>
      <c r="H381" s="95" t="s">
        <v>3209</v>
      </c>
      <c r="I381" s="10"/>
      <c r="J381" s="8">
        <v>21.9</v>
      </c>
      <c r="K381" s="8">
        <v>306</v>
      </c>
      <c r="L381" s="11" t="s">
        <v>1985</v>
      </c>
      <c r="M381" s="39" t="s">
        <v>1896</v>
      </c>
      <c r="N381" s="43" t="s">
        <v>675</v>
      </c>
      <c r="O381" s="42" t="s">
        <v>1897</v>
      </c>
    </row>
    <row r="382" spans="1:15">
      <c r="A382" s="5">
        <v>44401</v>
      </c>
      <c r="B382" s="19" t="s">
        <v>1678</v>
      </c>
      <c r="C382" s="23" t="s">
        <v>1336</v>
      </c>
      <c r="D382" s="7" t="s">
        <v>1980</v>
      </c>
      <c r="E382" s="103" t="s">
        <v>1981</v>
      </c>
      <c r="F382" s="85" t="str">
        <f>HYPERLINK("https://drive.google.com/file/d/1HHdWRExWY17Ci1hoecpxXDnZLKeY0CdY/view?usp=drivesdk","https://drive.google.com/file/d/1HHdWRExWY17Ci1hoecpxXDnZLKeY0CdY/view?usp=drivesdk")</f>
        <v>https://drive.google.com/file/d/1HHdWRExWY17Ci1hoecpxXDnZLKeY0CdY/view?usp=drivesdk</v>
      </c>
      <c r="G382" s="7" t="s">
        <v>1982</v>
      </c>
      <c r="H382" s="95" t="s">
        <v>3293</v>
      </c>
      <c r="I382" s="10"/>
      <c r="J382" s="8">
        <v>16.399999999999999</v>
      </c>
      <c r="K382" s="8">
        <v>1376</v>
      </c>
      <c r="L382" s="11" t="s">
        <v>1983</v>
      </c>
      <c r="M382" s="39" t="s">
        <v>265</v>
      </c>
      <c r="N382" s="39" t="s">
        <v>265</v>
      </c>
      <c r="O382" s="39" t="s">
        <v>265</v>
      </c>
    </row>
    <row r="383" spans="1:15" ht="14.25" customHeight="1">
      <c r="A383" s="5">
        <v>44400</v>
      </c>
      <c r="B383" s="19" t="s">
        <v>1678</v>
      </c>
      <c r="C383" s="23" t="s">
        <v>1336</v>
      </c>
      <c r="D383" s="7" t="s">
        <v>1976</v>
      </c>
      <c r="E383" s="103" t="s">
        <v>1977</v>
      </c>
      <c r="F383" s="85" t="str">
        <f>HYPERLINK("https://drive.google.com/file/d/1uGTAXoTRhf1iO1DpCaXzP70FgPFYJqDU/view?usp=drivesdk","https://drive.google.com/file/d/1uGTAXoTRhf1iO1DpCaXzP70FgPFYJqDU/view?usp=drivesdk")</f>
        <v>https://drive.google.com/file/d/1uGTAXoTRhf1iO1DpCaXzP70FgPFYJqDU/view?usp=drivesdk</v>
      </c>
      <c r="G383" s="7" t="s">
        <v>1978</v>
      </c>
      <c r="H383" s="95" t="s">
        <v>3293</v>
      </c>
      <c r="I383" s="10"/>
      <c r="J383" s="8">
        <v>12</v>
      </c>
      <c r="K383" s="8">
        <v>1435</v>
      </c>
      <c r="L383" s="11" t="s">
        <v>1979</v>
      </c>
      <c r="M383" s="39" t="s">
        <v>265</v>
      </c>
      <c r="N383" s="39" t="s">
        <v>265</v>
      </c>
      <c r="O383" s="38" t="s">
        <v>265</v>
      </c>
    </row>
    <row r="384" spans="1:15" ht="27">
      <c r="A384" s="5">
        <v>44399</v>
      </c>
      <c r="B384" s="19" t="s">
        <v>1678</v>
      </c>
      <c r="C384" s="23" t="s">
        <v>1336</v>
      </c>
      <c r="D384" s="7" t="s">
        <v>1972</v>
      </c>
      <c r="E384" s="103" t="s">
        <v>1973</v>
      </c>
      <c r="F384" s="85" t="str">
        <f>HYPERLINK("https://drive.google.com/file/d/17G25P2cH1cv9P9Y-hFcXbZEyuA7hUPSU/view?usp=drivesdk","https://drive.google.com/file/d/17G25P2cH1cv9P9Y-hFcXbZEyuA7hUPSU/view?usp=drivesdk")</f>
        <v>https://drive.google.com/file/d/17G25P2cH1cv9P9Y-hFcXbZEyuA7hUPSU/view?usp=drivesdk</v>
      </c>
      <c r="G384" s="7" t="s">
        <v>1974</v>
      </c>
      <c r="H384" s="95" t="s">
        <v>3293</v>
      </c>
      <c r="I384" s="10"/>
      <c r="J384" s="8">
        <v>14.3</v>
      </c>
      <c r="K384" s="8">
        <v>1335</v>
      </c>
      <c r="L384" s="11" t="s">
        <v>1975</v>
      </c>
      <c r="M384" s="39" t="s">
        <v>265</v>
      </c>
      <c r="N384" s="39" t="s">
        <v>265</v>
      </c>
      <c r="O384" s="39" t="s">
        <v>265</v>
      </c>
    </row>
    <row r="385" spans="1:15" ht="27">
      <c r="A385" s="5">
        <v>44395</v>
      </c>
      <c r="B385" s="6" t="s">
        <v>246</v>
      </c>
      <c r="C385" s="23" t="s">
        <v>1336</v>
      </c>
      <c r="D385" s="7" t="s">
        <v>1968</v>
      </c>
      <c r="E385" s="103" t="s">
        <v>1969</v>
      </c>
      <c r="F385" s="85" t="str">
        <f>HYPERLINK("https://drive.google.com/file/d/1vKAWNbSYCnRFMTS62a4UrVFYuDZzNfoP/view?usp=drivesdk","https://drive.google.com/file/d/1vKAWNbSYCnRFMTS62a4UrVFYuDZzNfoP/view?usp=drivesdk")</f>
        <v>https://drive.google.com/file/d/1vKAWNbSYCnRFMTS62a4UrVFYuDZzNfoP/view?usp=drivesdk</v>
      </c>
      <c r="G385" s="7" t="s">
        <v>1970</v>
      </c>
      <c r="H385" s="95" t="s">
        <v>3292</v>
      </c>
      <c r="I385" s="10"/>
      <c r="J385" s="8">
        <v>6.2</v>
      </c>
      <c r="K385" s="8">
        <v>154</v>
      </c>
      <c r="L385" s="11" t="s">
        <v>1971</v>
      </c>
      <c r="M385" s="39" t="s">
        <v>1896</v>
      </c>
      <c r="N385" s="43" t="s">
        <v>675</v>
      </c>
      <c r="O385" s="42" t="s">
        <v>1897</v>
      </c>
    </row>
    <row r="386" spans="1:15" ht="27">
      <c r="A386" s="5">
        <v>44394</v>
      </c>
      <c r="B386" s="6" t="s">
        <v>246</v>
      </c>
      <c r="C386" s="23" t="s">
        <v>1336</v>
      </c>
      <c r="D386" s="7" t="s">
        <v>1964</v>
      </c>
      <c r="E386" s="103" t="s">
        <v>1965</v>
      </c>
      <c r="F386" s="85" t="str">
        <f>HYPERLINK("https://drive.google.com/file/d/179n9Dn3JZbsCsP02DXC4d9-sUcpm0EC-/view?usp=drivesdk","https://drive.google.com/file/d/179n9Dn3JZbsCsP02DXC4d9-sUcpm0EC-/view?usp=drivesdk")</f>
        <v>https://drive.google.com/file/d/179n9Dn3JZbsCsP02DXC4d9-sUcpm0EC-/view?usp=drivesdk</v>
      </c>
      <c r="G386" s="7" t="s">
        <v>1966</v>
      </c>
      <c r="H386" s="95" t="s">
        <v>3292</v>
      </c>
      <c r="I386" s="10"/>
      <c r="J386" s="8">
        <v>27.2</v>
      </c>
      <c r="K386" s="8">
        <v>1488</v>
      </c>
      <c r="L386" s="11" t="s">
        <v>1967</v>
      </c>
      <c r="M386" s="39" t="s">
        <v>1896</v>
      </c>
      <c r="N386" s="43" t="s">
        <v>675</v>
      </c>
      <c r="O386" s="42" t="s">
        <v>1897</v>
      </c>
    </row>
    <row r="387" spans="1:15" ht="27" customHeight="1">
      <c r="A387" s="5">
        <v>44387</v>
      </c>
      <c r="B387" s="19" t="s">
        <v>1678</v>
      </c>
      <c r="C387" s="23" t="s">
        <v>1336</v>
      </c>
      <c r="D387" s="7" t="s">
        <v>1960</v>
      </c>
      <c r="E387" s="103" t="s">
        <v>1961</v>
      </c>
      <c r="F387" s="85" t="str">
        <f>HYPERLINK("https://drive.google.com/file/d/1NmH11KS06mNMUpRWGJ78GFmkib9brPgT/view?usp=drivesdk","https://drive.google.com/file/d/1NmH11KS06mNMUpRWGJ78GFmkib9brPgT/view?usp=drivesdk")</f>
        <v>https://drive.google.com/file/d/1NmH11KS06mNMUpRWGJ78GFmkib9brPgT/view?usp=drivesdk</v>
      </c>
      <c r="G387" s="7" t="s">
        <v>1962</v>
      </c>
      <c r="H387" s="95" t="s">
        <v>3225</v>
      </c>
      <c r="I387" s="10"/>
      <c r="J387" s="8">
        <v>1.1000000000000001</v>
      </c>
      <c r="K387" s="8">
        <v>93</v>
      </c>
      <c r="L387" s="11" t="s">
        <v>1963</v>
      </c>
      <c r="M387" s="39" t="s">
        <v>265</v>
      </c>
      <c r="N387" s="39" t="s">
        <v>265</v>
      </c>
      <c r="O387" s="38" t="s">
        <v>265</v>
      </c>
    </row>
    <row r="388" spans="1:15" ht="14.25" customHeight="1">
      <c r="A388" s="5">
        <v>44380</v>
      </c>
      <c r="B388" s="6" t="s">
        <v>246</v>
      </c>
      <c r="C388" s="23" t="s">
        <v>1336</v>
      </c>
      <c r="D388" s="7" t="s">
        <v>1956</v>
      </c>
      <c r="E388" s="66" t="s">
        <v>1957</v>
      </c>
      <c r="F388" s="85" t="str">
        <f>HYPERLINK("https://drive.google.com/file/d/1N3lq04V8oOZkMle0HvnPfDotZppXmtVH/view?usp=drivesdk","https://drive.google.com/file/d/1N3lq04V8oOZkMle0HvnPfDotZppXmtVH/view?usp=drivesdk")</f>
        <v>https://drive.google.com/file/d/1N3lq04V8oOZkMle0HvnPfDotZppXmtVH/view?usp=drivesdk</v>
      </c>
      <c r="G388" s="7" t="s">
        <v>1958</v>
      </c>
      <c r="H388" s="95" t="s">
        <v>3198</v>
      </c>
      <c r="I388" s="10"/>
      <c r="J388" s="8">
        <v>6.0999999999999999E-2</v>
      </c>
      <c r="K388" s="8">
        <v>0</v>
      </c>
      <c r="L388" s="11" t="s">
        <v>1959</v>
      </c>
      <c r="M388" s="39" t="s">
        <v>1896</v>
      </c>
      <c r="N388" s="43" t="s">
        <v>675</v>
      </c>
      <c r="O388" s="43" t="s">
        <v>1897</v>
      </c>
    </row>
    <row r="389" spans="1:15" ht="27" customHeight="1">
      <c r="A389" s="5">
        <v>44373</v>
      </c>
      <c r="B389" s="6" t="s">
        <v>246</v>
      </c>
      <c r="C389" s="23" t="s">
        <v>1336</v>
      </c>
      <c r="D389" s="7" t="s">
        <v>1952</v>
      </c>
      <c r="E389" s="103" t="s">
        <v>1953</v>
      </c>
      <c r="F389" s="85" t="str">
        <f>HYPERLINK("https://drive.google.com/file/d/14CQWyX94LGlADQC-ZI1YHAglSVGQWAY4/view?usp=drivesdk","https://drive.google.com/file/d/14CQWyX94LGlADQC-ZI1YHAglSVGQWAY4/view?usp=drivesdk")</f>
        <v>https://drive.google.com/file/d/14CQWyX94LGlADQC-ZI1YHAglSVGQWAY4/view?usp=drivesdk</v>
      </c>
      <c r="G389" s="7" t="s">
        <v>1954</v>
      </c>
      <c r="H389" s="95" t="s">
        <v>3212</v>
      </c>
      <c r="I389" s="10"/>
      <c r="J389" s="8">
        <v>9.1999999999999993</v>
      </c>
      <c r="K389" s="8">
        <v>711</v>
      </c>
      <c r="L389" s="11" t="s">
        <v>1955</v>
      </c>
      <c r="M389" s="39" t="s">
        <v>1896</v>
      </c>
      <c r="N389" s="43" t="s">
        <v>675</v>
      </c>
      <c r="O389" s="43" t="s">
        <v>1897</v>
      </c>
    </row>
    <row r="390" spans="1:15" ht="27" customHeight="1">
      <c r="A390" s="5">
        <v>44367</v>
      </c>
      <c r="B390" s="6" t="s">
        <v>246</v>
      </c>
      <c r="C390" s="23" t="s">
        <v>1336</v>
      </c>
      <c r="D390" s="7" t="s">
        <v>1948</v>
      </c>
      <c r="E390" s="103" t="s">
        <v>1949</v>
      </c>
      <c r="F390" s="85" t="str">
        <f>HYPERLINK("https://drive.google.com/file/d/1_lEXZ2myoa8ErlUyugufvj4_b4fK6R3h/view?usp=drivesdk","https://drive.google.com/file/d/1_lEXZ2myoa8ErlUyugufvj4_b4fK6R3h/view?usp=drivesdk")</f>
        <v>https://drive.google.com/file/d/1_lEXZ2myoa8ErlUyugufvj4_b4fK6R3h/view?usp=drivesdk</v>
      </c>
      <c r="G390" s="7" t="s">
        <v>1950</v>
      </c>
      <c r="H390" s="95" t="s">
        <v>3202</v>
      </c>
      <c r="I390" s="10" t="s">
        <v>89</v>
      </c>
      <c r="J390" s="8">
        <v>9.1999999999999993</v>
      </c>
      <c r="K390" s="8">
        <v>1015</v>
      </c>
      <c r="L390" s="11" t="s">
        <v>1951</v>
      </c>
      <c r="M390" s="39" t="s">
        <v>1896</v>
      </c>
      <c r="N390" s="43" t="s">
        <v>675</v>
      </c>
      <c r="O390" s="43" t="s">
        <v>1897</v>
      </c>
    </row>
    <row r="391" spans="1:15" ht="27" customHeight="1">
      <c r="A391" s="5">
        <v>44359</v>
      </c>
      <c r="B391" s="6" t="s">
        <v>246</v>
      </c>
      <c r="C391" s="23" t="s">
        <v>1336</v>
      </c>
      <c r="D391" s="7" t="s">
        <v>1944</v>
      </c>
      <c r="E391" s="103" t="s">
        <v>1945</v>
      </c>
      <c r="F391" s="85" t="str">
        <f>HYPERLINK("https://drive.google.com/file/d/1TcrXlMpf_C6mVlbzbirYqT9X1osnAP99/view?usp=drivesdk","https://drive.google.com/file/d/1TcrXlMpf_C6mVlbzbirYqT9X1osnAP99/view?usp=drivesdk")</f>
        <v>https://drive.google.com/file/d/1TcrXlMpf_C6mVlbzbirYqT9X1osnAP99/view?usp=drivesdk</v>
      </c>
      <c r="G391" s="7" t="s">
        <v>1946</v>
      </c>
      <c r="H391" s="95" t="s">
        <v>3202</v>
      </c>
      <c r="I391" s="10" t="s">
        <v>89</v>
      </c>
      <c r="J391" s="8">
        <v>27.8</v>
      </c>
      <c r="K391" s="8">
        <v>2127</v>
      </c>
      <c r="L391" s="11" t="s">
        <v>1947</v>
      </c>
      <c r="M391" s="39" t="s">
        <v>1896</v>
      </c>
      <c r="N391" s="43" t="s">
        <v>675</v>
      </c>
      <c r="O391" s="42" t="s">
        <v>1897</v>
      </c>
    </row>
    <row r="392" spans="1:15" ht="27">
      <c r="A392" s="5">
        <v>44352</v>
      </c>
      <c r="B392" s="6" t="s">
        <v>246</v>
      </c>
      <c r="C392" s="23" t="s">
        <v>1336</v>
      </c>
      <c r="D392" s="7" t="s">
        <v>1941</v>
      </c>
      <c r="E392" s="103" t="s">
        <v>1942</v>
      </c>
      <c r="F392" s="85" t="str">
        <f>HYPERLINK("https://drive.google.com/file/d/1FkDnYvc31_JIB_okcsx381mF1An5s855/view?usp=drivesdk","https://drive.google.com/file/d/1FkDnYvc31_JIB_okcsx381mF1An5s855/view?usp=drivesdk")</f>
        <v>https://drive.google.com/file/d/1FkDnYvc31_JIB_okcsx381mF1An5s855/view?usp=drivesdk</v>
      </c>
      <c r="G392" s="7" t="s">
        <v>269</v>
      </c>
      <c r="H392" s="95" t="s">
        <v>3203</v>
      </c>
      <c r="I392" s="71" t="s">
        <v>244</v>
      </c>
      <c r="J392" s="8">
        <v>0.60699999999999998</v>
      </c>
      <c r="K392" s="8">
        <v>87</v>
      </c>
      <c r="L392" s="11" t="s">
        <v>1943</v>
      </c>
      <c r="M392" s="39" t="s">
        <v>1896</v>
      </c>
      <c r="N392" s="43" t="s">
        <v>675</v>
      </c>
      <c r="O392" s="43" t="s">
        <v>1897</v>
      </c>
    </row>
    <row r="393" spans="1:15" ht="27">
      <c r="A393" s="5">
        <v>44345</v>
      </c>
      <c r="B393" s="19" t="s">
        <v>1678</v>
      </c>
      <c r="C393" s="23" t="s">
        <v>1336</v>
      </c>
      <c r="D393" s="7" t="s">
        <v>1936</v>
      </c>
      <c r="E393" s="103" t="s">
        <v>1937</v>
      </c>
      <c r="F393" s="85" t="str">
        <f>HYPERLINK("https://drive.google.com/file/d/1Y6A65kQ8-eou9LF9YnUlThdeC-hyQ0Jr/view?usp=drivesdk","https://drive.google.com/file/d/1Y6A65kQ8-eou9LF9YnUlThdeC-hyQ0Jr/view?usp=drivesdk")</f>
        <v>https://drive.google.com/file/d/1Y6A65kQ8-eou9LF9YnUlThdeC-hyQ0Jr/view?usp=drivesdk</v>
      </c>
      <c r="G393" s="7" t="s">
        <v>1938</v>
      </c>
      <c r="H393" s="95" t="s">
        <v>3203</v>
      </c>
      <c r="I393" s="10" t="s">
        <v>1939</v>
      </c>
      <c r="J393" s="8">
        <v>16.100000000000001</v>
      </c>
      <c r="K393" s="8">
        <v>2072</v>
      </c>
      <c r="L393" s="11" t="s">
        <v>1940</v>
      </c>
      <c r="M393" s="39" t="s">
        <v>265</v>
      </c>
      <c r="N393" s="39" t="s">
        <v>265</v>
      </c>
      <c r="O393" s="39" t="s">
        <v>265</v>
      </c>
    </row>
    <row r="394" spans="1:15" ht="54">
      <c r="A394" s="5">
        <v>44339</v>
      </c>
      <c r="B394" s="19" t="s">
        <v>1678</v>
      </c>
      <c r="C394" s="23" t="s">
        <v>1336</v>
      </c>
      <c r="D394" s="7" t="s">
        <v>1932</v>
      </c>
      <c r="E394" s="103" t="s">
        <v>1933</v>
      </c>
      <c r="F394" s="85" t="str">
        <f>HYPERLINK("https://drive.google.com/file/d/1HIQcr7qc9GI1qkePWHiCN2OYiOffl3SR/view?usp=drivesdk","https://drive.google.com/file/d/1HIQcr7qc9GI1qkePWHiCN2OYiOffl3SR/view?usp=drivesdk")</f>
        <v>https://drive.google.com/file/d/1HIQcr7qc9GI1qkePWHiCN2OYiOffl3SR/view?usp=drivesdk</v>
      </c>
      <c r="G394" s="7" t="s">
        <v>1934</v>
      </c>
      <c r="H394" s="95" t="s">
        <v>3203</v>
      </c>
      <c r="I394" s="10" t="s">
        <v>89</v>
      </c>
      <c r="J394" s="8">
        <v>11</v>
      </c>
      <c r="K394" s="8">
        <v>1303</v>
      </c>
      <c r="L394" s="11" t="s">
        <v>1935</v>
      </c>
      <c r="M394" s="39" t="s">
        <v>265</v>
      </c>
      <c r="N394" s="39" t="s">
        <v>265</v>
      </c>
      <c r="O394" s="39" t="s">
        <v>265</v>
      </c>
    </row>
    <row r="395" spans="1:15" ht="28.5" customHeight="1">
      <c r="A395" s="5">
        <v>44310</v>
      </c>
      <c r="B395" s="6" t="s">
        <v>246</v>
      </c>
      <c r="C395" s="23" t="s">
        <v>1336</v>
      </c>
      <c r="D395" s="7" t="s">
        <v>1928</v>
      </c>
      <c r="E395" s="103" t="s">
        <v>1929</v>
      </c>
      <c r="F395" s="85" t="str">
        <f>HYPERLINK("https://drive.google.com/file/d/1M3ycWLhxH0aMkXM7DPPliSrBwuUqHKNR/view?usp=drivesdk","https://drive.google.com/file/d/1M3ycWLhxH0aMkXM7DPPliSrBwuUqHKNR/view?usp=drivesdk")</f>
        <v>https://drive.google.com/file/d/1M3ycWLhxH0aMkXM7DPPliSrBwuUqHKNR/view?usp=drivesdk</v>
      </c>
      <c r="G395" s="7" t="s">
        <v>1930</v>
      </c>
      <c r="H395" s="95" t="s">
        <v>3208</v>
      </c>
      <c r="I395" s="70" t="s">
        <v>1874</v>
      </c>
      <c r="J395" s="8">
        <v>11.3</v>
      </c>
      <c r="K395" s="8">
        <v>1245</v>
      </c>
      <c r="L395" s="11" t="s">
        <v>1931</v>
      </c>
      <c r="M395" s="39" t="s">
        <v>1896</v>
      </c>
      <c r="N395" s="43" t="s">
        <v>675</v>
      </c>
      <c r="O395" s="43" t="s">
        <v>1897</v>
      </c>
    </row>
    <row r="396" spans="1:15">
      <c r="A396" s="5">
        <v>44273</v>
      </c>
      <c r="B396" s="19" t="s">
        <v>1678</v>
      </c>
      <c r="C396" s="23" t="s">
        <v>1336</v>
      </c>
      <c r="D396" s="7" t="s">
        <v>1924</v>
      </c>
      <c r="E396" s="66" t="s">
        <v>1925</v>
      </c>
      <c r="F396" s="85" t="str">
        <f>HYPERLINK("https://drive.google.com/file/d/1_AJYWM6rApMbmEU6GA_iRztjFDtjeJr0/view?usp=drivesdk","https://drive.google.com/file/d/1_AJYWM6rApMbmEU6GA_iRztjFDtjeJr0/view?usp=drivesdk")</f>
        <v>https://drive.google.com/file/d/1_AJYWM6rApMbmEU6GA_iRztjFDtjeJr0/view?usp=drivesdk</v>
      </c>
      <c r="G396" s="7" t="s">
        <v>1926</v>
      </c>
      <c r="H396" s="95" t="s">
        <v>3193</v>
      </c>
      <c r="I396" s="10"/>
      <c r="J396" s="8">
        <v>6.9</v>
      </c>
      <c r="K396" s="8">
        <v>658</v>
      </c>
      <c r="L396" s="11" t="s">
        <v>1927</v>
      </c>
      <c r="M396" s="39" t="s">
        <v>265</v>
      </c>
      <c r="N396" s="39" t="s">
        <v>265</v>
      </c>
      <c r="O396" s="39" t="s">
        <v>265</v>
      </c>
    </row>
    <row r="397" spans="1:15">
      <c r="A397" s="5">
        <v>44269</v>
      </c>
      <c r="B397" s="19" t="s">
        <v>1678</v>
      </c>
      <c r="C397" s="23" t="s">
        <v>1336</v>
      </c>
      <c r="D397" s="7" t="s">
        <v>1920</v>
      </c>
      <c r="E397" s="66" t="s">
        <v>1921</v>
      </c>
      <c r="F397" s="85" t="str">
        <f>HYPERLINK("https://drive.google.com/file/d/1iIvyld_veBXsIeobEGkifsEfDXkx8WKc/view?usp=drivesdk","https://drive.google.com/file/d/1iIvyld_veBXsIeobEGkifsEfDXkx8WKc/view?usp=drivesdk")</f>
        <v>https://drive.google.com/file/d/1iIvyld_veBXsIeobEGkifsEfDXkx8WKc/view?usp=drivesdk</v>
      </c>
      <c r="G397" s="7" t="s">
        <v>1922</v>
      </c>
      <c r="H397" s="95" t="s">
        <v>3212</v>
      </c>
      <c r="I397" s="10"/>
      <c r="J397" s="8">
        <v>3.5</v>
      </c>
      <c r="K397" s="8">
        <v>242</v>
      </c>
      <c r="L397" s="11" t="s">
        <v>1923</v>
      </c>
      <c r="M397" s="39" t="s">
        <v>265</v>
      </c>
      <c r="N397" s="39" t="s">
        <v>265</v>
      </c>
      <c r="O397" s="39" t="s">
        <v>265</v>
      </c>
    </row>
    <row r="398" spans="1:15" ht="28.5" customHeight="1">
      <c r="A398" s="5">
        <v>44261</v>
      </c>
      <c r="B398" s="19" t="s">
        <v>1678</v>
      </c>
      <c r="C398" s="23" t="s">
        <v>1336</v>
      </c>
      <c r="D398" s="7" t="s">
        <v>1874</v>
      </c>
      <c r="E398" s="103" t="s">
        <v>1917</v>
      </c>
      <c r="F398" s="85" t="str">
        <f>HYPERLINK("https://drive.google.com/file/d/1nI4fLvE5UfaLC_YqQNYLsoG8e5lrF4MC/view?usp=drivesdk","https://drive.google.com/file/d/1nI4fLvE5UfaLC_YqQNYLsoG8e5lrF4MC/view?usp=drivesdk")</f>
        <v>https://drive.google.com/file/d/1nI4fLvE5UfaLC_YqQNYLsoG8e5lrF4MC/view?usp=drivesdk</v>
      </c>
      <c r="G398" s="7" t="s">
        <v>1918</v>
      </c>
      <c r="H398" s="95" t="s">
        <v>3208</v>
      </c>
      <c r="I398" s="71" t="s">
        <v>1874</v>
      </c>
      <c r="J398" s="8">
        <v>20.6</v>
      </c>
      <c r="K398" s="8">
        <v>1550</v>
      </c>
      <c r="L398" s="11" t="s">
        <v>1919</v>
      </c>
      <c r="M398" s="39" t="s">
        <v>265</v>
      </c>
      <c r="N398" s="39" t="s">
        <v>265</v>
      </c>
      <c r="O398" s="39" t="s">
        <v>265</v>
      </c>
    </row>
    <row r="399" spans="1:15">
      <c r="A399" s="5">
        <v>44254</v>
      </c>
      <c r="B399" s="19" t="s">
        <v>1678</v>
      </c>
      <c r="C399" s="23" t="s">
        <v>1336</v>
      </c>
      <c r="D399" s="7" t="s">
        <v>1913</v>
      </c>
      <c r="E399" s="103" t="s">
        <v>1914</v>
      </c>
      <c r="F399" s="85" t="str">
        <f>HYPERLINK("https://drive.google.com/file/d/1cgIe9xQ6gYsdtNt3XXFIFkXmNAsG3IqF/view?usp=drivesdk","https://drive.google.com/file/d/1cgIe9xQ6gYsdtNt3XXFIFkXmNAsG3IqF/view?usp=drivesdk")</f>
        <v>https://drive.google.com/file/d/1cgIe9xQ6gYsdtNt3XXFIFkXmNAsG3IqF/view?usp=drivesdk</v>
      </c>
      <c r="G399" s="7" t="s">
        <v>1915</v>
      </c>
      <c r="H399" s="95" t="s">
        <v>3203</v>
      </c>
      <c r="I399" s="10"/>
      <c r="J399" s="8">
        <v>9.1999999999999993</v>
      </c>
      <c r="K399" s="8">
        <v>704</v>
      </c>
      <c r="L399" s="11" t="s">
        <v>1916</v>
      </c>
      <c r="M399" s="39" t="s">
        <v>265</v>
      </c>
      <c r="N399" s="39" t="s">
        <v>265</v>
      </c>
      <c r="O399" s="39" t="s">
        <v>265</v>
      </c>
    </row>
    <row r="400" spans="1:15" ht="28.5" customHeight="1">
      <c r="A400" s="5">
        <v>44250</v>
      </c>
      <c r="B400" s="6" t="s">
        <v>246</v>
      </c>
      <c r="C400" s="23" t="s">
        <v>1336</v>
      </c>
      <c r="D400" s="7" t="s">
        <v>1910</v>
      </c>
      <c r="E400" s="103" t="s">
        <v>1911</v>
      </c>
      <c r="F400" s="85" t="str">
        <f>HYPERLINK("https://drive.google.com/file/d/1Tr0_wvSO0-UJXbeE6pzOXMfMaT77-X1x/view?usp=drivesdk","https://drive.google.com/file/d/1Tr0_wvSO0-UJXbeE6pzOXMfMaT77-X1x/view?usp=drivesdk")</f>
        <v>https://drive.google.com/file/d/1Tr0_wvSO0-UJXbeE6pzOXMfMaT77-X1x/view?usp=drivesdk</v>
      </c>
      <c r="G400" s="7" t="s">
        <v>1912</v>
      </c>
      <c r="H400" s="95" t="s">
        <v>3208</v>
      </c>
      <c r="I400" s="70" t="s">
        <v>1874</v>
      </c>
      <c r="J400" s="8">
        <v>15.6</v>
      </c>
      <c r="K400" s="8">
        <v>1212</v>
      </c>
      <c r="L400" s="11" t="s">
        <v>1223</v>
      </c>
      <c r="M400" s="39" t="s">
        <v>1896</v>
      </c>
      <c r="N400" s="43" t="s">
        <v>675</v>
      </c>
      <c r="O400" s="43" t="s">
        <v>1897</v>
      </c>
    </row>
    <row r="401" spans="1:15" ht="27" customHeight="1">
      <c r="A401" s="5">
        <v>44240</v>
      </c>
      <c r="B401" s="6" t="s">
        <v>246</v>
      </c>
      <c r="C401" s="23" t="s">
        <v>1336</v>
      </c>
      <c r="D401" s="7" t="s">
        <v>1906</v>
      </c>
      <c r="E401" s="103" t="s">
        <v>1907</v>
      </c>
      <c r="F401" s="85" t="str">
        <f>HYPERLINK("https://drive.google.com/file/d/1_D0_XhGNUGj5Q_QLkI2zL0RkRntvmTAh/view?usp=drivesdk","https://drive.google.com/file/d/1_D0_XhGNUGj5Q_QLkI2zL0RkRntvmTAh/view?usp=drivesdk")</f>
        <v>https://drive.google.com/file/d/1_D0_XhGNUGj5Q_QLkI2zL0RkRntvmTAh/view?usp=drivesdk</v>
      </c>
      <c r="G401" s="7" t="s">
        <v>1908</v>
      </c>
      <c r="H401" s="95" t="s">
        <v>3208</v>
      </c>
      <c r="I401" s="10"/>
      <c r="J401" s="8">
        <v>4.7</v>
      </c>
      <c r="K401" s="8">
        <v>509</v>
      </c>
      <c r="L401" s="11" t="s">
        <v>1909</v>
      </c>
      <c r="M401" s="39" t="s">
        <v>1896</v>
      </c>
      <c r="N401" s="43" t="s">
        <v>675</v>
      </c>
      <c r="O401" s="43" t="s">
        <v>1897</v>
      </c>
    </row>
    <row r="402" spans="1:15" ht="27" customHeight="1">
      <c r="A402" s="5">
        <v>44238</v>
      </c>
      <c r="B402" s="6" t="s">
        <v>246</v>
      </c>
      <c r="C402" s="23" t="s">
        <v>1336</v>
      </c>
      <c r="D402" s="7" t="s">
        <v>1902</v>
      </c>
      <c r="E402" s="103" t="s">
        <v>1903</v>
      </c>
      <c r="F402" s="85" t="str">
        <f>HYPERLINK("https://drive.google.com/file/d/1FdOdkJaf5XSgh1pQMkdGS4NADzNW8qT6/view?usp=drivesdk","https://drive.google.com/file/d/1FdOdkJaf5XSgh1pQMkdGS4NADzNW8qT6/view?usp=drivesdk")</f>
        <v>https://drive.google.com/file/d/1FdOdkJaf5XSgh1pQMkdGS4NADzNW8qT6/view?usp=drivesdk</v>
      </c>
      <c r="G402" s="7" t="s">
        <v>1904</v>
      </c>
      <c r="H402" s="95" t="s">
        <v>3208</v>
      </c>
      <c r="I402" s="10"/>
      <c r="J402" s="8">
        <v>11</v>
      </c>
      <c r="K402" s="8">
        <v>1067</v>
      </c>
      <c r="L402" s="11" t="s">
        <v>1905</v>
      </c>
      <c r="M402" s="39" t="s">
        <v>22</v>
      </c>
      <c r="N402" s="43" t="s">
        <v>675</v>
      </c>
      <c r="O402" s="43" t="s">
        <v>879</v>
      </c>
    </row>
    <row r="403" spans="1:15" ht="27" customHeight="1">
      <c r="A403" s="5">
        <v>44234</v>
      </c>
      <c r="B403" s="6" t="s">
        <v>246</v>
      </c>
      <c r="C403" s="23" t="s">
        <v>1336</v>
      </c>
      <c r="D403" s="7" t="s">
        <v>1898</v>
      </c>
      <c r="E403" s="103" t="s">
        <v>1899</v>
      </c>
      <c r="F403" s="85" t="str">
        <f>HYPERLINK("https://drive.google.com/file/d/1_gHwnKI40HsGyIevytqJwiVznWKdKE5M/view?usp=drivesdk","https://drive.google.com/file/d/1_gHwnKI40HsGyIevytqJwiVznWKdKE5M/view?usp=drivesdk")</f>
        <v>https://drive.google.com/file/d/1_gHwnKI40HsGyIevytqJwiVznWKdKE5M/view?usp=drivesdk</v>
      </c>
      <c r="G403" s="7" t="s">
        <v>1900</v>
      </c>
      <c r="H403" s="73" t="s">
        <v>3208</v>
      </c>
      <c r="I403" s="10"/>
      <c r="J403" s="8">
        <v>6.3</v>
      </c>
      <c r="K403" s="8">
        <v>773</v>
      </c>
      <c r="L403" s="11" t="s">
        <v>1901</v>
      </c>
      <c r="M403" s="39" t="s">
        <v>1896</v>
      </c>
      <c r="N403" s="43" t="s">
        <v>675</v>
      </c>
      <c r="O403" s="43" t="s">
        <v>1897</v>
      </c>
    </row>
    <row r="404" spans="1:15" ht="27" customHeight="1">
      <c r="A404" s="5">
        <v>44207</v>
      </c>
      <c r="B404" s="6" t="s">
        <v>246</v>
      </c>
      <c r="C404" s="23" t="s">
        <v>1336</v>
      </c>
      <c r="D404" s="7" t="s">
        <v>1892</v>
      </c>
      <c r="E404" s="103" t="s">
        <v>1893</v>
      </c>
      <c r="F404" s="85" t="str">
        <f>HYPERLINK("https://drive.google.com/file/d/1Y3VunvXJ0-Eedu3GGpxHNCNYOzvvZief/view?usp=drivesdk","https://drive.google.com/file/d/1Y3VunvXJ0-Eedu3GGpxHNCNYOzvvZief/view?usp=drivesdk")</f>
        <v>https://drive.google.com/file/d/1Y3VunvXJ0-Eedu3GGpxHNCNYOzvvZief/view?usp=drivesdk</v>
      </c>
      <c r="G404" s="7" t="s">
        <v>1894</v>
      </c>
      <c r="H404" s="95" t="s">
        <v>3208</v>
      </c>
      <c r="I404" s="10"/>
      <c r="J404" s="8">
        <v>2.8</v>
      </c>
      <c r="K404" s="8">
        <v>212</v>
      </c>
      <c r="L404" s="11" t="s">
        <v>1895</v>
      </c>
      <c r="M404" s="39" t="s">
        <v>1896</v>
      </c>
      <c r="N404" s="43" t="s">
        <v>675</v>
      </c>
      <c r="O404" s="43" t="s">
        <v>1897</v>
      </c>
    </row>
    <row r="405" spans="1:15" ht="14.25" customHeight="1">
      <c r="A405" s="5">
        <v>44122</v>
      </c>
      <c r="B405" s="19" t="s">
        <v>1678</v>
      </c>
      <c r="C405" s="23" t="s">
        <v>1336</v>
      </c>
      <c r="D405" s="7" t="s">
        <v>1888</v>
      </c>
      <c r="E405" s="66" t="s">
        <v>1889</v>
      </c>
      <c r="F405" s="85" t="str">
        <f>HYPERLINK("https://drive.google.com/file/d/1IZOWft14SOMJ2z_ylzZesr6tp2ebdkRR/view?usp=drivesdk","https://drive.google.com/file/d/1IZOWft14SOMJ2z_ylzZesr6tp2ebdkRR/view?usp=drivesdk")</f>
        <v>https://drive.google.com/file/d/1IZOWft14SOMJ2z_ylzZesr6tp2ebdkRR/view?usp=drivesdk</v>
      </c>
      <c r="G405" s="7" t="s">
        <v>1890</v>
      </c>
      <c r="H405" s="95" t="s">
        <v>3293</v>
      </c>
      <c r="I405" s="10"/>
      <c r="J405" s="8">
        <v>8.1</v>
      </c>
      <c r="K405" s="8">
        <v>783</v>
      </c>
      <c r="L405" s="11" t="s">
        <v>1891</v>
      </c>
      <c r="M405" s="39" t="s">
        <v>265</v>
      </c>
      <c r="N405" s="39" t="s">
        <v>265</v>
      </c>
      <c r="O405" s="39" t="s">
        <v>265</v>
      </c>
    </row>
    <row r="406" spans="1:15" ht="27">
      <c r="A406" s="5">
        <v>44095</v>
      </c>
      <c r="B406" s="6" t="s">
        <v>246</v>
      </c>
      <c r="C406" s="23" t="s">
        <v>1336</v>
      </c>
      <c r="D406" s="7" t="s">
        <v>1883</v>
      </c>
      <c r="E406" s="103" t="s">
        <v>1884</v>
      </c>
      <c r="F406" s="85" t="str">
        <f>HYPERLINK("https://drive.google.com/file/d/14UgXsgVA0XiUY2GHFISAyhdVEXNc69yn/view?usp=drivesdk","https://drive.google.com/file/d/14UgXsgVA0XiUY2GHFISAyhdVEXNc69yn/view?usp=drivesdk")</f>
        <v>https://drive.google.com/file/d/14UgXsgVA0XiUY2GHFISAyhdVEXNc69yn/view?usp=drivesdk</v>
      </c>
      <c r="G406" s="7" t="s">
        <v>1885</v>
      </c>
      <c r="H406" s="95" t="s">
        <v>3202</v>
      </c>
      <c r="I406" s="10" t="s">
        <v>1886</v>
      </c>
      <c r="J406" s="8">
        <v>28.2</v>
      </c>
      <c r="K406" s="8">
        <v>1439</v>
      </c>
      <c r="L406" s="11" t="s">
        <v>1887</v>
      </c>
      <c r="M406" s="39" t="s">
        <v>22</v>
      </c>
      <c r="N406" s="43" t="s">
        <v>675</v>
      </c>
      <c r="O406" s="43" t="s">
        <v>1584</v>
      </c>
    </row>
    <row r="407" spans="1:15">
      <c r="A407" s="5">
        <v>44057</v>
      </c>
      <c r="B407" s="19" t="s">
        <v>1678</v>
      </c>
      <c r="C407" s="23" t="s">
        <v>1336</v>
      </c>
      <c r="D407" s="7" t="s">
        <v>1879</v>
      </c>
      <c r="E407" s="103" t="s">
        <v>1880</v>
      </c>
      <c r="F407" s="85" t="str">
        <f>HYPERLINK("https://drive.google.com/file/d/1UabnBNtKgcUEU7Bm_L6Ztiax80L9xdvJ/view?usp=drivesdk","https://drive.google.com/file/d/1UabnBNtKgcUEU7Bm_L6Ztiax80L9xdvJ/view?usp=drivesdk")</f>
        <v>https://drive.google.com/file/d/1UabnBNtKgcUEU7Bm_L6Ztiax80L9xdvJ/view?usp=drivesdk</v>
      </c>
      <c r="G407" s="7" t="s">
        <v>1881</v>
      </c>
      <c r="H407" s="73" t="s">
        <v>307</v>
      </c>
      <c r="I407" s="10"/>
      <c r="J407" s="8">
        <v>11.3</v>
      </c>
      <c r="K407" s="8">
        <v>916</v>
      </c>
      <c r="L407" s="11" t="s">
        <v>1882</v>
      </c>
      <c r="M407" s="39" t="s">
        <v>265</v>
      </c>
      <c r="N407" s="39" t="s">
        <v>265</v>
      </c>
      <c r="O407" s="38" t="s">
        <v>265</v>
      </c>
    </row>
    <row r="408" spans="1:15" ht="14.25" customHeight="1">
      <c r="A408" s="5">
        <v>44053</v>
      </c>
      <c r="B408" s="6" t="s">
        <v>246</v>
      </c>
      <c r="C408" s="23" t="s">
        <v>1336</v>
      </c>
      <c r="D408" s="7" t="s">
        <v>1875</v>
      </c>
      <c r="E408" s="103" t="s">
        <v>1876</v>
      </c>
      <c r="F408" s="85" t="str">
        <f>HYPERLINK("https://drive.google.com/file/d/1I62Tjfy61gmwqW4mYDj__qv1Zwx9YJdA/view?usp=drivesdk","https://drive.google.com/file/d/1I62Tjfy61gmwqW4mYDj__qv1Zwx9YJdA/view?usp=drivesdk")</f>
        <v>https://drive.google.com/file/d/1I62Tjfy61gmwqW4mYDj__qv1Zwx9YJdA/view?usp=drivesdk</v>
      </c>
      <c r="G408" s="7" t="s">
        <v>1877</v>
      </c>
      <c r="H408" s="95" t="s">
        <v>3208</v>
      </c>
      <c r="I408" s="10"/>
      <c r="J408" s="8">
        <v>30.2</v>
      </c>
      <c r="K408" s="8">
        <v>2567</v>
      </c>
      <c r="L408" s="11" t="s">
        <v>1878</v>
      </c>
      <c r="M408" s="39" t="s">
        <v>720</v>
      </c>
      <c r="N408" s="43" t="s">
        <v>23</v>
      </c>
      <c r="O408" s="42" t="s">
        <v>802</v>
      </c>
    </row>
    <row r="409" spans="1:15" ht="28.5" customHeight="1">
      <c r="A409" s="5">
        <v>44051</v>
      </c>
      <c r="B409" s="6" t="s">
        <v>246</v>
      </c>
      <c r="C409" s="23" t="s">
        <v>1336</v>
      </c>
      <c r="D409" s="7" t="s">
        <v>1871</v>
      </c>
      <c r="E409" s="103" t="s">
        <v>1872</v>
      </c>
      <c r="F409" s="85" t="str">
        <f>HYPERLINK("https://drive.google.com/file/d/1SsMaA02MCZHB4W-c8XWC18H8u-gMPueN/view?usp=drivesdk","https://drive.google.com/file/d/1SsMaA02MCZHB4W-c8XWC18H8u-gMPueN/view?usp=drivesdk")</f>
        <v>https://drive.google.com/file/d/1SsMaA02MCZHB4W-c8XWC18H8u-gMPueN/view?usp=drivesdk</v>
      </c>
      <c r="G409" s="7" t="s">
        <v>1873</v>
      </c>
      <c r="H409" s="95" t="s">
        <v>3206</v>
      </c>
      <c r="I409" s="71" t="s">
        <v>1874</v>
      </c>
      <c r="J409" s="8">
        <v>38.200000000000003</v>
      </c>
      <c r="K409" s="8">
        <v>3469</v>
      </c>
      <c r="L409" s="11" t="s">
        <v>514</v>
      </c>
      <c r="M409" s="39" t="s">
        <v>720</v>
      </c>
      <c r="N409" s="43" t="s">
        <v>23</v>
      </c>
      <c r="O409" s="43" t="s">
        <v>802</v>
      </c>
    </row>
    <row r="410" spans="1:15" ht="40.5">
      <c r="A410" s="5">
        <v>44009</v>
      </c>
      <c r="B410" s="18" t="s">
        <v>15</v>
      </c>
      <c r="C410" s="23" t="s">
        <v>1336</v>
      </c>
      <c r="D410" s="7" t="s">
        <v>1867</v>
      </c>
      <c r="E410" s="103" t="s">
        <v>1868</v>
      </c>
      <c r="F410" s="85" t="str">
        <f>HYPERLINK("https://drive.google.com/file/d/1cjmpsBOiwUcVLS50PAzRI4_2gKLOEa7G/view?usp=drivesdk","https://drive.google.com/file/d/1cjmpsBOiwUcVLS50PAzRI4_2gKLOEa7G/view?usp=drivesdk")</f>
        <v>https://drive.google.com/file/d/1cjmpsBOiwUcVLS50PAzRI4_2gKLOEa7G/view?usp=drivesdk</v>
      </c>
      <c r="G410" s="7" t="s">
        <v>1869</v>
      </c>
      <c r="H410" s="95" t="s">
        <v>3203</v>
      </c>
      <c r="I410" s="7" t="s">
        <v>244</v>
      </c>
      <c r="J410" s="8">
        <v>52</v>
      </c>
      <c r="K410" s="8">
        <v>2164</v>
      </c>
      <c r="L410" s="11" t="s">
        <v>1870</v>
      </c>
      <c r="M410" s="39" t="s">
        <v>22</v>
      </c>
      <c r="N410" s="43" t="s">
        <v>675</v>
      </c>
      <c r="O410" s="43" t="s">
        <v>1584</v>
      </c>
    </row>
    <row r="411" spans="1:15" ht="27" customHeight="1">
      <c r="A411" s="5">
        <v>43855</v>
      </c>
      <c r="B411" s="18" t="s">
        <v>15</v>
      </c>
      <c r="C411" s="23" t="s">
        <v>16</v>
      </c>
      <c r="D411" s="7" t="s">
        <v>1863</v>
      </c>
      <c r="E411" s="67" t="s">
        <v>1864</v>
      </c>
      <c r="F411" s="85" t="str">
        <f>HYPERLINK("https://drive.google.com/file/d/1vP9wEVfDLks-rR5WSrNBbLtsYekS5rbR/view?usp=drivesdk","https://drive.google.com/file/d/1vP9wEVfDLks-rR5WSrNBbLtsYekS5rbR/view?usp=drivesdk")</f>
        <v>https://drive.google.com/file/d/1vP9wEVfDLks-rR5WSrNBbLtsYekS5rbR/view?usp=drivesdk</v>
      </c>
      <c r="G411" s="7" t="s">
        <v>1865</v>
      </c>
      <c r="H411" s="95" t="s">
        <v>3213</v>
      </c>
      <c r="I411" s="10"/>
      <c r="J411" s="8">
        <v>74</v>
      </c>
      <c r="K411" s="8">
        <v>1079</v>
      </c>
      <c r="L411" s="11" t="s">
        <v>1866</v>
      </c>
      <c r="M411" s="39" t="s">
        <v>22</v>
      </c>
      <c r="N411" s="43"/>
      <c r="O411" s="43" t="s">
        <v>879</v>
      </c>
    </row>
    <row r="412" spans="1:15" ht="27">
      <c r="A412" s="5">
        <v>43843</v>
      </c>
      <c r="B412" s="18" t="s">
        <v>15</v>
      </c>
      <c r="C412" s="23" t="s">
        <v>16</v>
      </c>
      <c r="D412" s="7" t="s">
        <v>1860</v>
      </c>
      <c r="E412" s="67" t="s">
        <v>1861</v>
      </c>
      <c r="F412" s="85" t="str">
        <f>HYPERLINK("https://drive.google.com/file/d/1BMUrjYrBAT7tUk_w6aJdm_HO6wqgRcdN/view?usp=drivesdk","https://drive.google.com/file/d/1BMUrjYrBAT7tUk_w6aJdm_HO6wqgRcdN/view?usp=drivesdk")</f>
        <v>https://drive.google.com/file/d/1BMUrjYrBAT7tUk_w6aJdm_HO6wqgRcdN/view?usp=drivesdk</v>
      </c>
      <c r="G412" s="7" t="s">
        <v>1862</v>
      </c>
      <c r="H412" s="95" t="s">
        <v>3208</v>
      </c>
      <c r="I412" s="10"/>
      <c r="J412" s="8">
        <v>27</v>
      </c>
      <c r="K412" s="8">
        <v>134</v>
      </c>
      <c r="L412" s="54">
        <v>0.14930555555555561</v>
      </c>
      <c r="M412" s="39" t="s">
        <v>330</v>
      </c>
      <c r="N412" s="43" t="s">
        <v>331</v>
      </c>
      <c r="O412" s="42" t="s">
        <v>332</v>
      </c>
    </row>
    <row r="413" spans="1:15" ht="67.5">
      <c r="A413" s="5">
        <v>43841</v>
      </c>
      <c r="B413" s="18" t="s">
        <v>15</v>
      </c>
      <c r="C413" s="23" t="s">
        <v>16</v>
      </c>
      <c r="D413" s="7" t="s">
        <v>1857</v>
      </c>
      <c r="E413" s="67" t="s">
        <v>1858</v>
      </c>
      <c r="F413" s="85" t="str">
        <f>HYPERLINK("https://drive.google.com/file/d/1rRATRLldFvZrz3KeNCdvR4C5t-tm-uQv/view?usp=drivesdk","https://drive.google.com/file/d/1rRATRLldFvZrz3KeNCdvR4C5t-tm-uQv/view?usp=drivesdk")</f>
        <v>https://drive.google.com/file/d/1rRATRLldFvZrz3KeNCdvR4C5t-tm-uQv/view?usp=drivesdk</v>
      </c>
      <c r="G413" s="7" t="s">
        <v>1859</v>
      </c>
      <c r="H413" s="95" t="s">
        <v>3225</v>
      </c>
      <c r="I413" s="10"/>
      <c r="J413" s="8">
        <v>32</v>
      </c>
      <c r="K413" s="8">
        <v>508</v>
      </c>
      <c r="L413" s="54">
        <v>0.23541666666666669</v>
      </c>
      <c r="M413" s="39" t="s">
        <v>330</v>
      </c>
      <c r="N413" s="43" t="s">
        <v>331</v>
      </c>
      <c r="O413" s="42" t="s">
        <v>332</v>
      </c>
    </row>
    <row r="414" spans="1:15" ht="27">
      <c r="A414" s="5">
        <v>43834</v>
      </c>
      <c r="B414" s="20" t="s">
        <v>1632</v>
      </c>
      <c r="C414" s="23" t="s">
        <v>1633</v>
      </c>
      <c r="D414" s="7" t="s">
        <v>1855</v>
      </c>
      <c r="E414" s="105"/>
      <c r="G414" s="7" t="s">
        <v>1856</v>
      </c>
      <c r="H414" s="95" t="s">
        <v>3227</v>
      </c>
      <c r="I414" s="10"/>
      <c r="J414" s="8"/>
      <c r="K414" s="8"/>
      <c r="L414" s="11"/>
      <c r="M414" s="39" t="s">
        <v>265</v>
      </c>
      <c r="N414" s="39" t="s">
        <v>265</v>
      </c>
      <c r="O414" s="39" t="s">
        <v>265</v>
      </c>
    </row>
    <row r="415" spans="1:15">
      <c r="A415" s="5">
        <v>43820</v>
      </c>
      <c r="B415" s="18" t="s">
        <v>15</v>
      </c>
      <c r="C415" s="23" t="s">
        <v>16</v>
      </c>
      <c r="D415" s="21" t="s">
        <v>890</v>
      </c>
      <c r="E415" s="67" t="s">
        <v>1854</v>
      </c>
      <c r="F415" s="85" t="str">
        <f>HYPERLINK("https://drive.google.com/file/d/1Io11N500AWlzTkMhmlkVAd_dCImXQd1A/view?usp=drivesdk","https://drive.google.com/file/d/1Io11N500AWlzTkMhmlkVAd_dCImXQd1A/view?usp=drivesdk")</f>
        <v>https://drive.google.com/file/d/1Io11N500AWlzTkMhmlkVAd_dCImXQd1A/view?usp=drivesdk</v>
      </c>
      <c r="G415" s="21" t="s">
        <v>890</v>
      </c>
      <c r="H415" s="95" t="s">
        <v>3239</v>
      </c>
      <c r="I415" s="15" t="s">
        <v>404</v>
      </c>
      <c r="J415" s="41">
        <v>30</v>
      </c>
      <c r="K415" s="41">
        <v>128</v>
      </c>
      <c r="L415" s="46">
        <v>0.12847222222222221</v>
      </c>
      <c r="M415" s="39" t="s">
        <v>102</v>
      </c>
      <c r="N415" s="48" t="s">
        <v>194</v>
      </c>
      <c r="O415" s="114" t="s">
        <v>195</v>
      </c>
    </row>
    <row r="416" spans="1:15" ht="27" customHeight="1">
      <c r="A416" s="5">
        <v>43813</v>
      </c>
      <c r="B416" s="18" t="s">
        <v>15</v>
      </c>
      <c r="C416" s="23" t="s">
        <v>16</v>
      </c>
      <c r="D416" s="21" t="s">
        <v>1852</v>
      </c>
      <c r="E416" s="67" t="s">
        <v>1853</v>
      </c>
      <c r="F416" s="85" t="str">
        <f>HYPERLINK("https://drive.google.com/file/d/1bqy8jDWJkQFbEypGyqh6UhR1Qb1qkjd7/view?usp=drivesdk","https://drive.google.com/file/d/1bqy8jDWJkQFbEypGyqh6UhR1Qb1qkjd7/view?usp=drivesdk")</f>
        <v>https://drive.google.com/file/d/1bqy8jDWJkQFbEypGyqh6UhR1Qb1qkjd7/view?usp=drivesdk</v>
      </c>
      <c r="G416" s="21" t="s">
        <v>1852</v>
      </c>
      <c r="H416" s="95" t="s">
        <v>3213</v>
      </c>
      <c r="I416" s="40"/>
      <c r="J416" s="41">
        <v>6</v>
      </c>
      <c r="K416" s="41">
        <v>100</v>
      </c>
      <c r="L416" s="54">
        <v>0.15138888888888891</v>
      </c>
      <c r="M416" s="39" t="s">
        <v>102</v>
      </c>
      <c r="N416" s="48" t="s">
        <v>194</v>
      </c>
      <c r="O416" s="114" t="s">
        <v>195</v>
      </c>
    </row>
    <row r="417" spans="1:15">
      <c r="A417" s="5">
        <v>43807</v>
      </c>
      <c r="B417" s="18" t="s">
        <v>15</v>
      </c>
      <c r="C417" s="23" t="s">
        <v>16</v>
      </c>
      <c r="D417" s="21" t="s">
        <v>1848</v>
      </c>
      <c r="E417" s="67" t="s">
        <v>1849</v>
      </c>
      <c r="F417" s="85" t="str">
        <f>HYPERLINK("https://drive.google.com/file/d/1LzY6HY7fAFfuUu37nnpdpHjPt5SsEPzn/view?usp=drivesdk","https://drive.google.com/file/d/1LzY6HY7fAFfuUu37nnpdpHjPt5SsEPzn/view?usp=drivesdk")</f>
        <v>https://drive.google.com/file/d/1LzY6HY7fAFfuUu37nnpdpHjPt5SsEPzn/view?usp=drivesdk</v>
      </c>
      <c r="G417" s="21" t="s">
        <v>1848</v>
      </c>
      <c r="H417" s="95" t="s">
        <v>3193</v>
      </c>
      <c r="I417" s="15" t="s">
        <v>404</v>
      </c>
      <c r="J417" s="41">
        <v>8</v>
      </c>
      <c r="K417" s="41">
        <v>24</v>
      </c>
      <c r="L417" s="54">
        <v>0.1340277777777778</v>
      </c>
      <c r="M417" s="49" t="s">
        <v>330</v>
      </c>
      <c r="N417" s="48" t="s">
        <v>331</v>
      </c>
      <c r="O417" s="48" t="s">
        <v>332</v>
      </c>
    </row>
    <row r="418" spans="1:15">
      <c r="A418" s="5">
        <v>43807</v>
      </c>
      <c r="B418" s="18" t="s">
        <v>15</v>
      </c>
      <c r="C418" s="23" t="s">
        <v>16</v>
      </c>
      <c r="D418" s="21" t="s">
        <v>32</v>
      </c>
      <c r="E418" s="67" t="s">
        <v>1850</v>
      </c>
      <c r="F418" s="85" t="str">
        <f>HYPERLINK("https://drive.google.com/file/d/1FDNNmTsBWF2TLjsZiZcYqf9-qwQFGaJ1/view?usp=drivesdk","https://drive.google.com/file/d/1FDNNmTsBWF2TLjsZiZcYqf9-qwQFGaJ1/view?usp=drivesdk")</f>
        <v>https://drive.google.com/file/d/1FDNNmTsBWF2TLjsZiZcYqf9-qwQFGaJ1/view?usp=drivesdk</v>
      </c>
      <c r="G418" s="7" t="s">
        <v>1851</v>
      </c>
      <c r="H418" s="73" t="s">
        <v>222</v>
      </c>
      <c r="I418" s="15" t="s">
        <v>404</v>
      </c>
      <c r="J418" s="41">
        <v>7</v>
      </c>
      <c r="K418" s="41">
        <v>64</v>
      </c>
      <c r="L418" s="46">
        <v>4.583333333333333E-2</v>
      </c>
      <c r="M418" s="49" t="s">
        <v>330</v>
      </c>
      <c r="N418" s="48" t="s">
        <v>331</v>
      </c>
      <c r="O418" s="114" t="s">
        <v>332</v>
      </c>
    </row>
    <row r="419" spans="1:15" ht="27" customHeight="1">
      <c r="A419" s="5">
        <v>43799</v>
      </c>
      <c r="B419" s="18" t="s">
        <v>15</v>
      </c>
      <c r="C419" s="23" t="s">
        <v>16</v>
      </c>
      <c r="D419" s="7" t="s">
        <v>1840</v>
      </c>
      <c r="E419" s="67" t="s">
        <v>1841</v>
      </c>
      <c r="F419" s="85" t="str">
        <f>HYPERLINK("https://drive.google.com/file/d/1X7yiNJ1ZzGzPOsF1SZ35NmO2Ll3fodtp/view?usp=drivesdk","https://drive.google.com/file/d/1X7yiNJ1ZzGzPOsF1SZ35NmO2Ll3fodtp/view?usp=drivesdk")</f>
        <v>https://drive.google.com/file/d/1X7yiNJ1ZzGzPOsF1SZ35NmO2Ll3fodtp/view?usp=drivesdk</v>
      </c>
      <c r="G419" s="7" t="s">
        <v>1842</v>
      </c>
      <c r="H419" s="95" t="s">
        <v>3215</v>
      </c>
      <c r="I419" s="15" t="s">
        <v>404</v>
      </c>
      <c r="J419" s="41">
        <v>3</v>
      </c>
      <c r="K419" s="41">
        <v>26</v>
      </c>
      <c r="L419" s="54">
        <v>1.041666666666667E-2</v>
      </c>
      <c r="M419" s="49" t="s">
        <v>330</v>
      </c>
      <c r="N419" s="48" t="s">
        <v>331</v>
      </c>
      <c r="O419" s="114" t="s">
        <v>332</v>
      </c>
    </row>
    <row r="420" spans="1:15" ht="27" customHeight="1">
      <c r="A420" s="5">
        <v>43799</v>
      </c>
      <c r="B420" s="18" t="s">
        <v>15</v>
      </c>
      <c r="C420" s="23" t="s">
        <v>16</v>
      </c>
      <c r="D420" s="7" t="s">
        <v>1843</v>
      </c>
      <c r="E420" s="67" t="s">
        <v>1844</v>
      </c>
      <c r="F420" s="85" t="str">
        <f>HYPERLINK("https://drive.google.com/file/d/1i5KXZFeGDEvCKlhbG3mulo1cbSgTqZVk/view?usp=drivesdk","https://drive.google.com/file/d/1i5KXZFeGDEvCKlhbG3mulo1cbSgTqZVk/view?usp=drivesdk")</f>
        <v>https://drive.google.com/file/d/1i5KXZFeGDEvCKlhbG3mulo1cbSgTqZVk/view?usp=drivesdk</v>
      </c>
      <c r="G420" s="7" t="s">
        <v>1845</v>
      </c>
      <c r="H420" s="95" t="s">
        <v>3215</v>
      </c>
      <c r="I420" s="15" t="s">
        <v>404</v>
      </c>
      <c r="J420" s="41">
        <v>3</v>
      </c>
      <c r="K420" s="41">
        <v>21</v>
      </c>
      <c r="L420" s="46">
        <v>4.7222222222222221E-2</v>
      </c>
      <c r="M420" s="49" t="s">
        <v>330</v>
      </c>
      <c r="N420" s="48" t="s">
        <v>331</v>
      </c>
      <c r="O420" s="48" t="s">
        <v>332</v>
      </c>
    </row>
    <row r="421" spans="1:15">
      <c r="A421" s="5">
        <v>43799</v>
      </c>
      <c r="B421" s="18" t="s">
        <v>15</v>
      </c>
      <c r="C421" s="23" t="s">
        <v>16</v>
      </c>
      <c r="D421" s="21" t="s">
        <v>1846</v>
      </c>
      <c r="E421" s="68" t="s">
        <v>1847</v>
      </c>
      <c r="F421" s="85" t="str">
        <f>HYPERLINK("https://drive.google.com/file/d/1z8ms92Wx6WBvJ7ZnFsWjGX0U5Qw_lxId/view?usp=drivesdk","https://drive.google.com/file/d/1z8ms92Wx6WBvJ7ZnFsWjGX0U5Qw_lxId/view?usp=drivesdk")</f>
        <v>https://drive.google.com/file/d/1z8ms92Wx6WBvJ7ZnFsWjGX0U5Qw_lxId/view?usp=drivesdk</v>
      </c>
      <c r="G421" s="21" t="s">
        <v>1846</v>
      </c>
      <c r="H421" s="95" t="s">
        <v>3215</v>
      </c>
      <c r="I421" s="15" t="s">
        <v>404</v>
      </c>
      <c r="J421" s="41">
        <v>7</v>
      </c>
      <c r="K421" s="41">
        <v>14</v>
      </c>
      <c r="L421" s="54">
        <v>2.569444444444444E-2</v>
      </c>
      <c r="M421" s="49" t="s">
        <v>330</v>
      </c>
      <c r="N421" s="48" t="s">
        <v>331</v>
      </c>
      <c r="O421" s="114" t="s">
        <v>332</v>
      </c>
    </row>
    <row r="422" spans="1:15">
      <c r="A422" s="5">
        <v>43785</v>
      </c>
      <c r="B422" s="18" t="s">
        <v>15</v>
      </c>
      <c r="C422" s="23" t="s">
        <v>16</v>
      </c>
      <c r="D422" s="21" t="s">
        <v>250</v>
      </c>
      <c r="E422" s="67" t="s">
        <v>1839</v>
      </c>
      <c r="F422" s="85" t="str">
        <f>HYPERLINK("https://drive.google.com/file/d/1hm_iwgHIW82x9r9lfxSEFvVJyzor7t61/view?usp=drivesdk","https://drive.google.com/file/d/1hm_iwgHIW82x9r9lfxSEFvVJyzor7t61/view?usp=drivesdk")</f>
        <v>https://drive.google.com/file/d/1hm_iwgHIW82x9r9lfxSEFvVJyzor7t61/view?usp=drivesdk</v>
      </c>
      <c r="G422" s="21" t="s">
        <v>250</v>
      </c>
      <c r="H422" s="95" t="s">
        <v>3208</v>
      </c>
      <c r="I422" s="15" t="s">
        <v>404</v>
      </c>
      <c r="J422" s="41">
        <v>22</v>
      </c>
      <c r="K422" s="41">
        <v>86</v>
      </c>
      <c r="L422" s="54">
        <v>8.0555555555555561E-2</v>
      </c>
      <c r="M422" s="39" t="s">
        <v>102</v>
      </c>
      <c r="N422" s="48" t="s">
        <v>194</v>
      </c>
      <c r="O422" s="48" t="s">
        <v>195</v>
      </c>
    </row>
    <row r="423" spans="1:15">
      <c r="A423" s="5">
        <v>43778</v>
      </c>
      <c r="B423" s="18" t="s">
        <v>15</v>
      </c>
      <c r="C423" s="23" t="s">
        <v>16</v>
      </c>
      <c r="D423" s="7" t="s">
        <v>1837</v>
      </c>
      <c r="E423" s="67" t="s">
        <v>1838</v>
      </c>
      <c r="F423" s="85" t="str">
        <f>HYPERLINK("https://drive.google.com/file/d/1Whkfl80E_4Ood1qaKvW2DipdThf-6S4H/view?usp=drivesdk","https://drive.google.com/file/d/1Whkfl80E_4Ood1qaKvW2DipdThf-6S4H/view?usp=drivesdk")</f>
        <v>https://drive.google.com/file/d/1Whkfl80E_4Ood1qaKvW2DipdThf-6S4H/view?usp=drivesdk</v>
      </c>
      <c r="G423" s="7" t="s">
        <v>1837</v>
      </c>
      <c r="H423" s="95" t="s">
        <v>3203</v>
      </c>
      <c r="I423" s="15" t="s">
        <v>404</v>
      </c>
      <c r="J423" s="41">
        <v>46</v>
      </c>
      <c r="K423" s="41">
        <v>487</v>
      </c>
      <c r="L423" s="46">
        <v>0.2361111111111111</v>
      </c>
      <c r="M423" s="39" t="s">
        <v>720</v>
      </c>
      <c r="N423" s="48" t="s">
        <v>23</v>
      </c>
      <c r="O423" s="114" t="s">
        <v>802</v>
      </c>
    </row>
    <row r="424" spans="1:15">
      <c r="A424" s="5">
        <v>43773</v>
      </c>
      <c r="B424" s="18" t="s">
        <v>15</v>
      </c>
      <c r="C424" s="23" t="s">
        <v>16</v>
      </c>
      <c r="D424" s="7" t="s">
        <v>1835</v>
      </c>
      <c r="E424" s="67" t="s">
        <v>1836</v>
      </c>
      <c r="F424" s="85" t="str">
        <f>HYPERLINK("https://drive.google.com/file/d/1jby3b5BG-l4wCXXPidvzSELCTpNpAtpf/view?usp=drivesdk","https://drive.google.com/file/d/1jby3b5BG-l4wCXXPidvzSELCTpNpAtpf/view?usp=drivesdk")</f>
        <v>https://drive.google.com/file/d/1jby3b5BG-l4wCXXPidvzSELCTpNpAtpf/view?usp=drivesdk</v>
      </c>
      <c r="G424" s="7" t="s">
        <v>1835</v>
      </c>
      <c r="H424" s="95" t="s">
        <v>3292</v>
      </c>
      <c r="I424" s="15" t="s">
        <v>404</v>
      </c>
      <c r="J424" s="8">
        <v>19</v>
      </c>
      <c r="K424" s="8">
        <v>254</v>
      </c>
      <c r="L424" s="11">
        <v>0.1236111111111111</v>
      </c>
      <c r="M424" s="39" t="s">
        <v>22</v>
      </c>
      <c r="N424" s="43" t="s">
        <v>675</v>
      </c>
      <c r="O424" s="43" t="s">
        <v>879</v>
      </c>
    </row>
    <row r="425" spans="1:15" ht="27">
      <c r="A425" s="5">
        <v>43772</v>
      </c>
      <c r="B425" s="18" t="s">
        <v>15</v>
      </c>
      <c r="C425" s="23" t="s">
        <v>16</v>
      </c>
      <c r="D425" s="7" t="s">
        <v>1832</v>
      </c>
      <c r="E425" s="67" t="s">
        <v>1833</v>
      </c>
      <c r="F425" s="85" t="str">
        <f>HYPERLINK("https://drive.google.com/file/d/1zkvrbPA3pHTS5bQRVxtCb_nW6cHALCoD/view?usp=drivesdk","https://drive.google.com/file/d/1zkvrbPA3pHTS5bQRVxtCb_nW6cHALCoD/view?usp=drivesdk")</f>
        <v>https://drive.google.com/file/d/1zkvrbPA3pHTS5bQRVxtCb_nW6cHALCoD/view?usp=drivesdk</v>
      </c>
      <c r="G425" s="7" t="s">
        <v>1834</v>
      </c>
      <c r="H425" s="95" t="s">
        <v>3234</v>
      </c>
      <c r="I425" s="15" t="s">
        <v>404</v>
      </c>
      <c r="J425" s="8">
        <v>18</v>
      </c>
      <c r="K425" s="8">
        <v>349</v>
      </c>
      <c r="L425" s="11">
        <v>0.1034722222222222</v>
      </c>
      <c r="M425" s="39" t="s">
        <v>22</v>
      </c>
      <c r="N425" s="43" t="s">
        <v>675</v>
      </c>
      <c r="O425" s="43" t="s">
        <v>879</v>
      </c>
    </row>
    <row r="426" spans="1:15" ht="27" customHeight="1">
      <c r="A426" s="5">
        <v>43771</v>
      </c>
      <c r="B426" s="18" t="s">
        <v>15</v>
      </c>
      <c r="C426" s="23" t="s">
        <v>16</v>
      </c>
      <c r="D426" s="7" t="s">
        <v>3298</v>
      </c>
      <c r="E426" s="67" t="s">
        <v>1830</v>
      </c>
      <c r="F426" s="85" t="str">
        <f>HYPERLINK("https://drive.google.com/file/d/1An82OJgFuAJY9bcNK2aHdetHNkuqVbDH/view?usp=drivesdk","https://drive.google.com/file/d/1An82OJgFuAJY9bcNK2aHdetHNkuqVbDH/view?usp=drivesdk")</f>
        <v>https://drive.google.com/file/d/1An82OJgFuAJY9bcNK2aHdetHNkuqVbDH/view?usp=drivesdk</v>
      </c>
      <c r="G426" s="7" t="s">
        <v>1831</v>
      </c>
      <c r="H426" s="73" t="s">
        <v>3292</v>
      </c>
      <c r="I426" s="10"/>
      <c r="J426" s="8">
        <v>43</v>
      </c>
      <c r="K426" s="8">
        <v>808</v>
      </c>
      <c r="L426" s="11">
        <v>0.1541666666666667</v>
      </c>
      <c r="M426" s="39" t="s">
        <v>22</v>
      </c>
      <c r="N426" s="43" t="s">
        <v>675</v>
      </c>
      <c r="O426" s="43" t="s">
        <v>1584</v>
      </c>
    </row>
    <row r="427" spans="1:15" ht="27" customHeight="1">
      <c r="A427" s="5">
        <v>43764</v>
      </c>
      <c r="B427" s="19" t="s">
        <v>1678</v>
      </c>
      <c r="C427" s="23" t="s">
        <v>1336</v>
      </c>
      <c r="D427" s="21" t="s">
        <v>1828</v>
      </c>
      <c r="E427" s="67" t="s">
        <v>1829</v>
      </c>
      <c r="F427" s="85" t="str">
        <f>HYPERLINK("https://drive.google.com/file/d/1GXmmn60DyxFFD7ZIYQBnOyv28iFRtWPo/view?usp=drivesdk","https://drive.google.com/file/d/1GXmmn60DyxFFD7ZIYQBnOyv28iFRtWPo/view?usp=drivesdk")</f>
        <v>https://drive.google.com/file/d/1GXmmn60DyxFFD7ZIYQBnOyv28iFRtWPo/view?usp=drivesdk</v>
      </c>
      <c r="G427" s="21" t="s">
        <v>1828</v>
      </c>
      <c r="H427" s="95" t="s">
        <v>3203</v>
      </c>
      <c r="I427" s="40"/>
      <c r="J427" s="41">
        <v>4</v>
      </c>
      <c r="K427" s="41"/>
      <c r="L427" s="46">
        <v>0.14583333333333329</v>
      </c>
      <c r="M427" s="39" t="s">
        <v>265</v>
      </c>
      <c r="N427" s="39" t="s">
        <v>265</v>
      </c>
      <c r="O427" s="39" t="s">
        <v>265</v>
      </c>
    </row>
    <row r="428" spans="1:15">
      <c r="A428" s="5">
        <v>43758</v>
      </c>
      <c r="B428" s="18" t="s">
        <v>15</v>
      </c>
      <c r="C428" s="23" t="s">
        <v>16</v>
      </c>
      <c r="D428" s="21" t="s">
        <v>208</v>
      </c>
      <c r="E428" s="67" t="s">
        <v>1826</v>
      </c>
      <c r="F428" s="85" t="str">
        <f>HYPERLINK("https://drive.google.com/file/d/1T7-KFF6jbngJsx_57rlGLe_VrvptgtUu/view?usp=drivesdk","https://drive.google.com/file/d/1T7-KFF6jbngJsx_57rlGLe_VrvptgtUu/view?usp=drivesdk")</f>
        <v>https://drive.google.com/file/d/1T7-KFF6jbngJsx_57rlGLe_VrvptgtUu/view?usp=drivesdk</v>
      </c>
      <c r="G428" s="7" t="s">
        <v>1827</v>
      </c>
      <c r="H428" s="95" t="s">
        <v>3198</v>
      </c>
      <c r="I428" s="40"/>
      <c r="J428" s="41">
        <v>36</v>
      </c>
      <c r="K428" s="41">
        <v>80</v>
      </c>
      <c r="L428" s="46">
        <v>9.930555555555555E-2</v>
      </c>
      <c r="M428" s="39" t="s">
        <v>102</v>
      </c>
      <c r="N428" s="43" t="s">
        <v>194</v>
      </c>
      <c r="O428" s="43" t="s">
        <v>195</v>
      </c>
    </row>
    <row r="429" spans="1:15" ht="27" customHeight="1">
      <c r="A429" s="5">
        <v>43736</v>
      </c>
      <c r="B429" s="18" t="s">
        <v>15</v>
      </c>
      <c r="C429" s="23" t="s">
        <v>16</v>
      </c>
      <c r="D429" s="7" t="s">
        <v>1823</v>
      </c>
      <c r="E429" s="67" t="s">
        <v>1824</v>
      </c>
      <c r="F429" s="85" t="str">
        <f>HYPERLINK("https://drive.google.com/file/d/1Cp0LquTJhvO5PySULoGr62ImkE96uAzW/view?usp=drivesdk","https://drive.google.com/file/d/1Cp0LquTJhvO5PySULoGr62ImkE96uAzW/view?usp=drivesdk")</f>
        <v>https://drive.google.com/file/d/1Cp0LquTJhvO5PySULoGr62ImkE96uAzW/view?usp=drivesdk</v>
      </c>
      <c r="G429" s="7" t="s">
        <v>1825</v>
      </c>
      <c r="H429" s="95" t="s">
        <v>3198</v>
      </c>
      <c r="I429" s="10"/>
      <c r="J429" s="8">
        <v>5</v>
      </c>
      <c r="K429" s="8">
        <v>34</v>
      </c>
      <c r="L429" s="54">
        <v>1.805555555555555E-2</v>
      </c>
      <c r="M429" s="39" t="s">
        <v>330</v>
      </c>
      <c r="N429" s="43" t="s">
        <v>331</v>
      </c>
      <c r="O429" s="43" t="s">
        <v>332</v>
      </c>
    </row>
    <row r="430" spans="1:15" ht="27" customHeight="1">
      <c r="A430" s="5">
        <v>43722</v>
      </c>
      <c r="B430" s="6" t="s">
        <v>246</v>
      </c>
      <c r="C430" s="23" t="s">
        <v>1336</v>
      </c>
      <c r="D430" s="7" t="s">
        <v>1820</v>
      </c>
      <c r="E430" s="67" t="s">
        <v>1821</v>
      </c>
      <c r="F430" s="85" t="str">
        <f>HYPERLINK("https://drive.google.com/file/d/12Dov0APqZ5x8Oti1iJ3I1tQX92uupxSA/view?usp=drivesdk","https://drive.google.com/file/d/12Dov0APqZ5x8Oti1iJ3I1tQX92uupxSA/view?usp=drivesdk")</f>
        <v>https://drive.google.com/file/d/12Dov0APqZ5x8Oti1iJ3I1tQX92uupxSA/view?usp=drivesdk</v>
      </c>
      <c r="G430" s="7" t="s">
        <v>1822</v>
      </c>
      <c r="H430" s="95" t="s">
        <v>3203</v>
      </c>
      <c r="I430" s="7" t="s">
        <v>244</v>
      </c>
      <c r="J430" s="8">
        <v>62</v>
      </c>
      <c r="K430" s="8">
        <v>2127</v>
      </c>
      <c r="L430" s="11">
        <v>0.36666666666666659</v>
      </c>
      <c r="M430" s="39" t="s">
        <v>22</v>
      </c>
      <c r="N430" s="43" t="s">
        <v>675</v>
      </c>
      <c r="O430" s="43" t="s">
        <v>879</v>
      </c>
    </row>
    <row r="431" spans="1:15" ht="14.25" customHeight="1">
      <c r="A431" s="5">
        <v>43716</v>
      </c>
      <c r="B431" s="18" t="s">
        <v>15</v>
      </c>
      <c r="C431" s="23" t="s">
        <v>223</v>
      </c>
      <c r="D431" s="7" t="s">
        <v>1817</v>
      </c>
      <c r="E431" s="67" t="s">
        <v>1818</v>
      </c>
      <c r="F431" s="85" t="str">
        <f>HYPERLINK("https://drive.google.com/file/d/1-lH9j9kIgEf2MPreq5gt5vbFZCli1_6f/view?usp=drivesdk","https://drive.google.com/file/d/1-lH9j9kIgEf2MPreq5gt5vbFZCli1_6f/view?usp=drivesdk")</f>
        <v>https://drive.google.com/file/d/1-lH9j9kIgEf2MPreq5gt5vbFZCli1_6f/view?usp=drivesdk</v>
      </c>
      <c r="G431" s="7" t="s">
        <v>1819</v>
      </c>
      <c r="H431" s="73" t="s">
        <v>3224</v>
      </c>
      <c r="I431" s="23" t="s">
        <v>831</v>
      </c>
      <c r="J431" s="8">
        <v>63</v>
      </c>
      <c r="K431" s="8">
        <v>1338</v>
      </c>
      <c r="L431" s="54">
        <v>0.22430555555555559</v>
      </c>
      <c r="M431" s="39" t="s">
        <v>22</v>
      </c>
      <c r="N431" s="43" t="s">
        <v>675</v>
      </c>
      <c r="O431" s="43" t="s">
        <v>879</v>
      </c>
    </row>
    <row r="432" spans="1:15" ht="40.5" customHeight="1">
      <c r="A432" s="5">
        <v>43709</v>
      </c>
      <c r="B432" s="18" t="s">
        <v>15</v>
      </c>
      <c r="C432" s="23" t="s">
        <v>16</v>
      </c>
      <c r="D432" s="7" t="s">
        <v>1814</v>
      </c>
      <c r="E432" s="67" t="s">
        <v>1815</v>
      </c>
      <c r="F432" s="85" t="str">
        <f>HYPERLINK("https://drive.google.com/file/d/1oUdnxsdDpgLyAa9hJM4DFhC2fWJSDafW/view?usp=drivesdk","https://drive.google.com/file/d/1oUdnxsdDpgLyAa9hJM4DFhC2fWJSDafW/view?usp=drivesdk")</f>
        <v>https://drive.google.com/file/d/1oUdnxsdDpgLyAa9hJM4DFhC2fWJSDafW/view?usp=drivesdk</v>
      </c>
      <c r="G432" s="7" t="s">
        <v>1816</v>
      </c>
      <c r="H432" s="95" t="s">
        <v>3297</v>
      </c>
      <c r="I432" s="10"/>
      <c r="J432" s="8">
        <v>110</v>
      </c>
      <c r="K432" s="8">
        <v>2366</v>
      </c>
      <c r="L432" s="54">
        <v>0.3576388888888889</v>
      </c>
      <c r="M432" s="39" t="s">
        <v>22</v>
      </c>
      <c r="N432" s="43" t="s">
        <v>675</v>
      </c>
      <c r="O432" s="43" t="s">
        <v>1584</v>
      </c>
    </row>
    <row r="433" spans="1:15" ht="18.75" customHeight="1">
      <c r="A433" s="5">
        <v>43701</v>
      </c>
      <c r="B433" s="20" t="s">
        <v>1632</v>
      </c>
      <c r="C433" s="27" t="s">
        <v>1633</v>
      </c>
      <c r="D433" s="21" t="s">
        <v>1811</v>
      </c>
      <c r="E433" s="67" t="s">
        <v>1812</v>
      </c>
      <c r="F433" s="85" t="str">
        <f>HYPERLINK("https://drive.google.com/file/d/1CeHH6IJ-NcJ4nDYCVm2fsNWgBM8oRdXg/view?usp=drivesdk","https://drive.google.com/file/d/1CeHH6IJ-NcJ4nDYCVm2fsNWgBM8oRdXg/view?usp=drivesdk")</f>
        <v>https://drive.google.com/file/d/1CeHH6IJ-NcJ4nDYCVm2fsNWgBM8oRdXg/view?usp=drivesdk</v>
      </c>
      <c r="G433" s="7" t="s">
        <v>1813</v>
      </c>
      <c r="H433" s="95" t="s">
        <v>3202</v>
      </c>
      <c r="I433" s="40"/>
      <c r="J433" s="41">
        <v>7</v>
      </c>
      <c r="K433" s="41">
        <v>72</v>
      </c>
      <c r="L433" s="46">
        <v>0.1451388888888889</v>
      </c>
      <c r="M433" s="39" t="s">
        <v>265</v>
      </c>
      <c r="N433" s="39" t="s">
        <v>265</v>
      </c>
      <c r="O433" s="39" t="s">
        <v>265</v>
      </c>
    </row>
    <row r="434" spans="1:15" ht="14.25" customHeight="1">
      <c r="A434" s="5">
        <v>43690</v>
      </c>
      <c r="B434" s="18" t="s">
        <v>15</v>
      </c>
      <c r="C434" s="23" t="s">
        <v>16</v>
      </c>
      <c r="D434" s="7" t="s">
        <v>1809</v>
      </c>
      <c r="E434" s="105"/>
      <c r="G434" s="7" t="s">
        <v>1810</v>
      </c>
      <c r="H434" s="95" t="s">
        <v>3292</v>
      </c>
      <c r="I434" s="10"/>
      <c r="J434" s="8"/>
      <c r="K434" s="8"/>
      <c r="L434" s="11"/>
      <c r="M434" s="39" t="s">
        <v>720</v>
      </c>
      <c r="N434" s="43" t="s">
        <v>23</v>
      </c>
      <c r="O434" s="43" t="s">
        <v>802</v>
      </c>
    </row>
    <row r="435" spans="1:15" ht="27" customHeight="1">
      <c r="A435" s="5">
        <v>43689</v>
      </c>
      <c r="B435" s="18" t="s">
        <v>15</v>
      </c>
      <c r="C435" s="23" t="s">
        <v>223</v>
      </c>
      <c r="D435" s="7" t="s">
        <v>1806</v>
      </c>
      <c r="E435" s="67" t="s">
        <v>1807</v>
      </c>
      <c r="F435" s="85" t="str">
        <f>HYPERLINK("https://drive.google.com/file/d/1XYf_iOtOw_0oa382QW2YnYeJg32QXVPX/view?usp=drivesdk","https://drive.google.com/file/d/1XYf_iOtOw_0oa382QW2YnYeJg32QXVPX/view?usp=drivesdk")</f>
        <v>https://drive.google.com/file/d/1XYf_iOtOw_0oa382QW2YnYeJg32QXVPX/view?usp=drivesdk</v>
      </c>
      <c r="G435" s="7" t="s">
        <v>1808</v>
      </c>
      <c r="H435" s="73" t="s">
        <v>3292</v>
      </c>
      <c r="I435" s="10"/>
      <c r="J435" s="8">
        <v>50</v>
      </c>
      <c r="K435" s="8">
        <v>1184</v>
      </c>
      <c r="L435" s="54">
        <v>0.2472222222222222</v>
      </c>
      <c r="M435" s="39" t="s">
        <v>720</v>
      </c>
      <c r="N435" s="43" t="s">
        <v>23</v>
      </c>
      <c r="O435" s="42" t="s">
        <v>802</v>
      </c>
    </row>
    <row r="436" spans="1:15" ht="27">
      <c r="A436" s="5">
        <v>43674</v>
      </c>
      <c r="B436" s="18" t="s">
        <v>15</v>
      </c>
      <c r="C436" s="23" t="s">
        <v>16</v>
      </c>
      <c r="D436" s="7" t="s">
        <v>1803</v>
      </c>
      <c r="E436" s="67" t="s">
        <v>1804</v>
      </c>
      <c r="F436" s="85" t="str">
        <f>HYPERLINK("https://drive.google.com/file/d/1_Df4BQALcKqq1iAocFJrKeZAoJzXj1OO/view?usp=drivesdk","https://drive.google.com/file/d/1_Df4BQALcKqq1iAocFJrKeZAoJzXj1OO/view?usp=drivesdk")</f>
        <v>https://drive.google.com/file/d/1_Df4BQALcKqq1iAocFJrKeZAoJzXj1OO/view?usp=drivesdk</v>
      </c>
      <c r="G436" s="7" t="s">
        <v>1507</v>
      </c>
      <c r="H436" s="95" t="s">
        <v>3203</v>
      </c>
      <c r="I436" s="7" t="s">
        <v>244</v>
      </c>
      <c r="J436" s="8">
        <v>60</v>
      </c>
      <c r="K436" s="8">
        <v>1840</v>
      </c>
      <c r="L436" s="11" t="s">
        <v>1805</v>
      </c>
      <c r="M436" s="39" t="s">
        <v>22</v>
      </c>
      <c r="N436" s="43" t="s">
        <v>675</v>
      </c>
      <c r="O436" s="43" t="s">
        <v>1584</v>
      </c>
    </row>
    <row r="437" spans="1:15" ht="13.5">
      <c r="A437" s="5">
        <v>43667</v>
      </c>
      <c r="B437" s="18" t="s">
        <v>15</v>
      </c>
      <c r="C437" s="23" t="s">
        <v>16</v>
      </c>
      <c r="D437" s="7" t="s">
        <v>276</v>
      </c>
      <c r="E437" s="105"/>
      <c r="G437" s="7" t="s">
        <v>383</v>
      </c>
      <c r="H437" s="95" t="s">
        <v>3202</v>
      </c>
      <c r="I437" s="23" t="s">
        <v>276</v>
      </c>
      <c r="J437" s="8"/>
      <c r="K437" s="8"/>
      <c r="L437" s="11"/>
      <c r="M437" s="39" t="s">
        <v>22</v>
      </c>
      <c r="N437" s="43" t="s">
        <v>675</v>
      </c>
      <c r="O437" s="43" t="s">
        <v>1584</v>
      </c>
    </row>
    <row r="438" spans="1:15" ht="27">
      <c r="A438" s="5">
        <v>43659</v>
      </c>
      <c r="B438" s="18" t="s">
        <v>15</v>
      </c>
      <c r="C438" s="23" t="s">
        <v>16</v>
      </c>
      <c r="D438" s="7" t="s">
        <v>1800</v>
      </c>
      <c r="E438" s="67" t="s">
        <v>1801</v>
      </c>
      <c r="F438" s="85" t="str">
        <f>HYPERLINK("https://drive.google.com/file/d/16piy1bsEwpnPc9mWeB-THexSEPBbxwOe/view?usp=drivesdk","https://drive.google.com/file/d/16piy1bsEwpnPc9mWeB-THexSEPBbxwOe/view?usp=drivesdk")</f>
        <v>https://drive.google.com/file/d/16piy1bsEwpnPc9mWeB-THexSEPBbxwOe/view?usp=drivesdk</v>
      </c>
      <c r="G438" s="7" t="s">
        <v>1802</v>
      </c>
      <c r="H438" s="95" t="s">
        <v>3234</v>
      </c>
      <c r="I438" s="10"/>
      <c r="J438" s="8">
        <v>135</v>
      </c>
      <c r="K438" s="8">
        <v>1751</v>
      </c>
      <c r="L438" s="11" t="s">
        <v>1788</v>
      </c>
      <c r="M438" s="39" t="s">
        <v>22</v>
      </c>
      <c r="N438" s="43" t="s">
        <v>675</v>
      </c>
      <c r="O438" s="43" t="s">
        <v>1584</v>
      </c>
    </row>
    <row r="439" spans="1:15" ht="27" customHeight="1">
      <c r="A439" s="5">
        <v>43639</v>
      </c>
      <c r="B439" s="18" t="s">
        <v>15</v>
      </c>
      <c r="C439" s="23" t="s">
        <v>16</v>
      </c>
      <c r="D439" s="7" t="s">
        <v>668</v>
      </c>
      <c r="E439" s="67" t="s">
        <v>1798</v>
      </c>
      <c r="F439" s="85" t="str">
        <f>HYPERLINK("https://drive.google.com/file/d/1_q0aiz5yos1t77WdcynU-qnfYMWV-vjZ/view?usp=drivesdk","https://drive.google.com/file/d/1_q0aiz5yos1t77WdcynU-qnfYMWV-vjZ/view?usp=drivesdk")</f>
        <v>https://drive.google.com/file/d/1_q0aiz5yos1t77WdcynU-qnfYMWV-vjZ/view?usp=drivesdk</v>
      </c>
      <c r="G439" s="7" t="s">
        <v>1799</v>
      </c>
      <c r="H439" s="73" t="s">
        <v>370</v>
      </c>
      <c r="I439" s="10"/>
      <c r="J439" s="8">
        <v>21</v>
      </c>
      <c r="K439" s="8">
        <v>187</v>
      </c>
      <c r="L439" s="54">
        <v>0.1104166666666667</v>
      </c>
      <c r="M439" s="39" t="s">
        <v>330</v>
      </c>
      <c r="N439" s="43" t="s">
        <v>331</v>
      </c>
      <c r="O439" s="43" t="s">
        <v>332</v>
      </c>
    </row>
    <row r="440" spans="1:15" ht="40.5">
      <c r="A440" s="5">
        <v>43632</v>
      </c>
      <c r="B440" s="18" t="s">
        <v>15</v>
      </c>
      <c r="C440" s="23" t="s">
        <v>223</v>
      </c>
      <c r="D440" s="7" t="s">
        <v>1795</v>
      </c>
      <c r="E440" s="67" t="s">
        <v>1796</v>
      </c>
      <c r="F440" s="85" t="str">
        <f>HYPERLINK("https://drive.google.com/file/d/1-irWm3WkuOpcYQmP4pUlPwpeOWKvm7cl/view?usp=drivesdk","https://drive.google.com/file/d/1-irWm3WkuOpcYQmP4pUlPwpeOWKvm7cl/view?usp=drivesdk")</f>
        <v>https://drive.google.com/file/d/1-irWm3WkuOpcYQmP4pUlPwpeOWKvm7cl/view?usp=drivesdk</v>
      </c>
      <c r="G440" s="7" t="s">
        <v>1797</v>
      </c>
      <c r="H440" s="97" t="s">
        <v>3296</v>
      </c>
      <c r="I440" s="10"/>
      <c r="J440" s="8">
        <v>101</v>
      </c>
      <c r="K440" s="8">
        <v>1638</v>
      </c>
      <c r="L440" s="54">
        <v>0.35486111111111113</v>
      </c>
      <c r="M440" s="39" t="s">
        <v>19</v>
      </c>
      <c r="N440" s="43" t="s">
        <v>615</v>
      </c>
      <c r="O440" s="43" t="s">
        <v>1028</v>
      </c>
    </row>
    <row r="441" spans="1:15" ht="27" customHeight="1">
      <c r="A441" s="5">
        <v>43611</v>
      </c>
      <c r="B441" s="18" t="s">
        <v>15</v>
      </c>
      <c r="C441" s="23" t="s">
        <v>16</v>
      </c>
      <c r="D441" s="7" t="s">
        <v>308</v>
      </c>
      <c r="E441" s="67" t="s">
        <v>1793</v>
      </c>
      <c r="F441" s="85" t="str">
        <f>HYPERLINK("https://drive.google.com/file/d/1onUfb8qioc8GGSaDOsdbBcC6B6FJnKYo/view?usp=drivesdk","https://drive.google.com/file/d/1onUfb8qioc8GGSaDOsdbBcC6B6FJnKYo/view?usp=drivesdk")</f>
        <v>https://drive.google.com/file/d/1onUfb8qioc8GGSaDOsdbBcC6B6FJnKYo/view?usp=drivesdk</v>
      </c>
      <c r="G441" s="7" t="s">
        <v>1794</v>
      </c>
      <c r="H441" s="95" t="s">
        <v>3209</v>
      </c>
      <c r="I441" s="10"/>
      <c r="J441" s="8">
        <v>110</v>
      </c>
      <c r="K441" s="8">
        <v>1455</v>
      </c>
      <c r="L441" s="11">
        <v>0.28819444444444442</v>
      </c>
      <c r="M441" s="39" t="s">
        <v>22</v>
      </c>
      <c r="N441" s="43" t="s">
        <v>675</v>
      </c>
      <c r="O441" s="43" t="s">
        <v>1584</v>
      </c>
    </row>
    <row r="442" spans="1:15" ht="27">
      <c r="A442" s="5">
        <v>43604</v>
      </c>
      <c r="B442" s="18" t="s">
        <v>15</v>
      </c>
      <c r="C442" s="23" t="s">
        <v>16</v>
      </c>
      <c r="D442" s="7" t="s">
        <v>32</v>
      </c>
      <c r="E442" s="67" t="s">
        <v>1791</v>
      </c>
      <c r="F442" s="85" t="str">
        <f>HYPERLINK("https://drive.google.com/file/d/1z03-cv-QmIYFdTWKDiWQ8VH23q3_NmED/view?usp=drivesdk","https://drive.google.com/file/d/1z03-cv-QmIYFdTWKDiWQ8VH23q3_NmED/view?usp=drivesdk")</f>
        <v>https://drive.google.com/file/d/1z03-cv-QmIYFdTWKDiWQ8VH23q3_NmED/view?usp=drivesdk</v>
      </c>
      <c r="G442" s="7" t="s">
        <v>1792</v>
      </c>
      <c r="H442" s="73" t="s">
        <v>222</v>
      </c>
      <c r="I442" s="10"/>
      <c r="J442" s="8">
        <v>70</v>
      </c>
      <c r="K442" s="8">
        <v>216</v>
      </c>
      <c r="L442" s="11">
        <v>0.26111111111111113</v>
      </c>
      <c r="M442" s="39" t="s">
        <v>102</v>
      </c>
      <c r="N442" s="43" t="s">
        <v>103</v>
      </c>
      <c r="O442" s="43" t="s">
        <v>1715</v>
      </c>
    </row>
    <row r="443" spans="1:15" ht="27" customHeight="1">
      <c r="A443" s="5">
        <v>43603</v>
      </c>
      <c r="B443" s="18" t="s">
        <v>15</v>
      </c>
      <c r="C443" s="23" t="s">
        <v>16</v>
      </c>
      <c r="D443" s="7" t="s">
        <v>32</v>
      </c>
      <c r="E443" s="67" t="s">
        <v>1789</v>
      </c>
      <c r="F443" s="85" t="str">
        <f>HYPERLINK("https://drive.google.com/file/d/1TfW5m5TmOSe23aOomP0e2pV3SoLTpaCY/view?usp=drivesdk","https://drive.google.com/file/d/1TfW5m5TmOSe23aOomP0e2pV3SoLTpaCY/view?usp=drivesdk")</f>
        <v>https://drive.google.com/file/d/1TfW5m5TmOSe23aOomP0e2pV3SoLTpaCY/view?usp=drivesdk</v>
      </c>
      <c r="G443" s="7" t="s">
        <v>1790</v>
      </c>
      <c r="H443" s="73" t="s">
        <v>222</v>
      </c>
      <c r="I443" s="40"/>
      <c r="J443" s="41">
        <v>62</v>
      </c>
      <c r="K443" s="41">
        <v>177</v>
      </c>
      <c r="L443" s="54">
        <v>0.18333333333333329</v>
      </c>
      <c r="M443" s="39" t="s">
        <v>102</v>
      </c>
      <c r="N443" s="43" t="s">
        <v>194</v>
      </c>
      <c r="O443" s="43" t="s">
        <v>195</v>
      </c>
    </row>
    <row r="444" spans="1:15">
      <c r="A444" s="5">
        <v>43597</v>
      </c>
      <c r="B444" s="18" t="s">
        <v>15</v>
      </c>
      <c r="C444" s="23" t="s">
        <v>16</v>
      </c>
      <c r="D444" s="7" t="s">
        <v>1785</v>
      </c>
      <c r="E444" s="67" t="s">
        <v>1786</v>
      </c>
      <c r="F444" s="85" t="str">
        <f>HYPERLINK("https://drive.google.com/file/d/17JPoWMfe2VqQiXk6f0Vm0fhtmAhbpj4n/view?usp=drivesdk","https://drive.google.com/file/d/17JPoWMfe2VqQiXk6f0Vm0fhtmAhbpj4n/view?usp=drivesdk")</f>
        <v>https://drive.google.com/file/d/17JPoWMfe2VqQiXk6f0Vm0fhtmAhbpj4n/view?usp=drivesdk</v>
      </c>
      <c r="G444" s="7" t="s">
        <v>1787</v>
      </c>
      <c r="H444" s="95" t="s">
        <v>3225</v>
      </c>
      <c r="I444" s="10"/>
      <c r="J444" s="8">
        <v>127</v>
      </c>
      <c r="K444" s="8">
        <v>2266</v>
      </c>
      <c r="L444" s="11" t="s">
        <v>1788</v>
      </c>
      <c r="M444" s="39" t="s">
        <v>22</v>
      </c>
      <c r="N444" s="43" t="s">
        <v>675</v>
      </c>
      <c r="O444" s="43" t="s">
        <v>1584</v>
      </c>
    </row>
    <row r="445" spans="1:15" ht="27">
      <c r="A445" s="5">
        <v>43588</v>
      </c>
      <c r="B445" s="18" t="s">
        <v>15</v>
      </c>
      <c r="C445" s="23" t="s">
        <v>223</v>
      </c>
      <c r="D445" s="7" t="s">
        <v>1782</v>
      </c>
      <c r="E445" s="67" t="s">
        <v>1783</v>
      </c>
      <c r="F445" s="85" t="str">
        <f>HYPERLINK("https://drive.google.com/file/d/1F6fUScif4MklyNIzMgH4bzVfan6exEID/view?usp=drivesdk","https://drive.google.com/file/d/1F6fUScif4MklyNIzMgH4bzVfan6exEID/view?usp=drivesdk")</f>
        <v>https://drive.google.com/file/d/1F6fUScif4MklyNIzMgH4bzVfan6exEID/view?usp=drivesdk</v>
      </c>
      <c r="G445" s="7" t="s">
        <v>1784</v>
      </c>
      <c r="H445" s="73" t="s">
        <v>3252</v>
      </c>
      <c r="I445" s="23" t="s">
        <v>831</v>
      </c>
      <c r="J445" s="8">
        <v>71</v>
      </c>
      <c r="K445" s="45">
        <v>1821</v>
      </c>
      <c r="L445" s="11">
        <v>0.33819444444444452</v>
      </c>
      <c r="M445" s="39" t="s">
        <v>720</v>
      </c>
      <c r="N445" s="43" t="s">
        <v>23</v>
      </c>
      <c r="O445" s="43" t="s">
        <v>802</v>
      </c>
    </row>
    <row r="446" spans="1:15" ht="27" customHeight="1">
      <c r="A446" s="5">
        <v>43587</v>
      </c>
      <c r="B446" s="18" t="s">
        <v>15</v>
      </c>
      <c r="C446" s="23" t="s">
        <v>16</v>
      </c>
      <c r="D446" s="7" t="s">
        <v>1779</v>
      </c>
      <c r="E446" s="67" t="s">
        <v>1780</v>
      </c>
      <c r="F446" s="85" t="str">
        <f>HYPERLINK("https://drive.google.com/file/d/1IZxLMgqcnrRnMlR4A60c1p1U_OltRllA/view?usp=drivesdk","https://drive.google.com/file/d/1IZxLMgqcnrRnMlR4A60c1p1U_OltRllA/view?usp=drivesdk")</f>
        <v>https://drive.google.com/file/d/1IZxLMgqcnrRnMlR4A60c1p1U_OltRllA/view?usp=drivesdk</v>
      </c>
      <c r="G446" s="7" t="s">
        <v>1781</v>
      </c>
      <c r="H446" s="73" t="s">
        <v>3252</v>
      </c>
      <c r="I446" s="10"/>
      <c r="J446" s="8">
        <v>131</v>
      </c>
      <c r="K446" s="8">
        <v>1894</v>
      </c>
      <c r="L446" s="55">
        <v>0.38055555555555548</v>
      </c>
      <c r="M446" s="39" t="s">
        <v>22</v>
      </c>
      <c r="N446" s="43" t="s">
        <v>675</v>
      </c>
      <c r="O446" s="43" t="s">
        <v>879</v>
      </c>
    </row>
    <row r="447" spans="1:15" ht="27">
      <c r="A447" s="5">
        <v>43586</v>
      </c>
      <c r="B447" s="18" t="s">
        <v>15</v>
      </c>
      <c r="C447" s="23" t="s">
        <v>16</v>
      </c>
      <c r="D447" s="7" t="s">
        <v>1776</v>
      </c>
      <c r="E447" s="67" t="s">
        <v>1777</v>
      </c>
      <c r="F447" s="85" t="str">
        <f>HYPERLINK("https://drive.google.com/file/d/1sXShlHQz-kH4cn_FsZDHQk9qF9iAynRM/view?usp=drivesdk","https://drive.google.com/file/d/1sXShlHQz-kH4cn_FsZDHQk9qF9iAynRM/view?usp=drivesdk")</f>
        <v>https://drive.google.com/file/d/1sXShlHQz-kH4cn_FsZDHQk9qF9iAynRM/view?usp=drivesdk</v>
      </c>
      <c r="G447" s="7" t="s">
        <v>1778</v>
      </c>
      <c r="H447" s="95" t="s">
        <v>3314</v>
      </c>
      <c r="I447" s="10"/>
      <c r="J447" s="8">
        <v>55</v>
      </c>
      <c r="K447" s="8">
        <v>1417</v>
      </c>
      <c r="L447" s="54">
        <v>0.2076388888888889</v>
      </c>
      <c r="M447" s="39" t="s">
        <v>22</v>
      </c>
      <c r="N447" s="43" t="s">
        <v>675</v>
      </c>
      <c r="O447" s="43" t="s">
        <v>879</v>
      </c>
    </row>
    <row r="448" spans="1:15" ht="27" customHeight="1">
      <c r="A448" s="5">
        <v>43583</v>
      </c>
      <c r="B448" s="18" t="s">
        <v>15</v>
      </c>
      <c r="C448" s="23" t="s">
        <v>16</v>
      </c>
      <c r="D448" s="7" t="s">
        <v>1773</v>
      </c>
      <c r="E448" s="67" t="s">
        <v>1774</v>
      </c>
      <c r="F448" s="85" t="str">
        <f>HYPERLINK("https://drive.google.com/file/d/1tBXcgGqBYecpj7xennjrOPULi1OkIFqJ/view?usp=drivesdk","https://drive.google.com/file/d/1tBXcgGqBYecpj7xennjrOPULi1OkIFqJ/view?usp=drivesdk")</f>
        <v>https://drive.google.com/file/d/1tBXcgGqBYecpj7xennjrOPULi1OkIFqJ/view?usp=drivesdk</v>
      </c>
      <c r="G448" s="7" t="s">
        <v>1775</v>
      </c>
      <c r="H448" s="95" t="s">
        <v>3199</v>
      </c>
      <c r="I448" s="23" t="s">
        <v>1086</v>
      </c>
      <c r="J448" s="8">
        <v>78</v>
      </c>
      <c r="K448" s="8">
        <v>1282</v>
      </c>
      <c r="L448" s="11">
        <v>0.21805555555555561</v>
      </c>
      <c r="M448" s="39" t="s">
        <v>22</v>
      </c>
      <c r="N448" s="43" t="s">
        <v>675</v>
      </c>
      <c r="O448" s="43" t="s">
        <v>879</v>
      </c>
    </row>
    <row r="449" spans="1:15" ht="27" customHeight="1">
      <c r="A449" s="5">
        <v>43576</v>
      </c>
      <c r="B449" s="18" t="s">
        <v>15</v>
      </c>
      <c r="C449" s="32" t="s">
        <v>16</v>
      </c>
      <c r="D449" s="7" t="s">
        <v>1770</v>
      </c>
      <c r="E449" s="67" t="s">
        <v>1771</v>
      </c>
      <c r="F449" s="85" t="str">
        <f>HYPERLINK("https://drive.google.com/file/d/1msu0qcXLC3LEA9p02FskO22dYsabCCvN/view?usp=drivesdk","https://drive.google.com/file/d/1msu0qcXLC3LEA9p02FskO22dYsabCCvN/view?usp=drivesdk")</f>
        <v>https://drive.google.com/file/d/1msu0qcXLC3LEA9p02FskO22dYsabCCvN/view?usp=drivesdk</v>
      </c>
      <c r="G449" s="7" t="s">
        <v>1772</v>
      </c>
      <c r="H449" s="95" t="s">
        <v>3209</v>
      </c>
      <c r="I449" s="24" t="s">
        <v>40</v>
      </c>
      <c r="J449" s="8">
        <v>98</v>
      </c>
      <c r="K449" s="8">
        <v>1034</v>
      </c>
      <c r="L449" s="54">
        <v>0.22291666666666671</v>
      </c>
      <c r="M449" s="39" t="s">
        <v>22</v>
      </c>
      <c r="N449" s="43" t="s">
        <v>675</v>
      </c>
      <c r="O449" s="43" t="s">
        <v>1584</v>
      </c>
    </row>
    <row r="450" spans="1:15" ht="27" customHeight="1">
      <c r="A450" s="5">
        <v>43575</v>
      </c>
      <c r="B450" s="18" t="s">
        <v>15</v>
      </c>
      <c r="C450" s="36" t="s">
        <v>16</v>
      </c>
      <c r="D450" s="7" t="s">
        <v>32</v>
      </c>
      <c r="E450" s="67" t="s">
        <v>1768</v>
      </c>
      <c r="F450" s="85" t="str">
        <f>HYPERLINK("https://drive.google.com/file/d/154cVcQDHkditkApqpnQYHfO1szDOvg-g/view?usp=drivesdk","https://drive.google.com/file/d/154cVcQDHkditkApqpnQYHfO1szDOvg-g/view?usp=drivesdk")</f>
        <v>https://drive.google.com/file/d/154cVcQDHkditkApqpnQYHfO1szDOvg-g/view?usp=drivesdk</v>
      </c>
      <c r="G450" s="7" t="s">
        <v>1769</v>
      </c>
      <c r="H450" s="73" t="s">
        <v>222</v>
      </c>
      <c r="I450" s="10"/>
      <c r="J450" s="8">
        <v>21</v>
      </c>
      <c r="K450" s="8">
        <v>170</v>
      </c>
      <c r="L450" s="11">
        <v>9.930555555555555E-2</v>
      </c>
      <c r="M450" s="39" t="s">
        <v>330</v>
      </c>
      <c r="N450" s="43" t="s">
        <v>331</v>
      </c>
      <c r="O450" s="43" t="s">
        <v>332</v>
      </c>
    </row>
    <row r="451" spans="1:15" ht="27" customHeight="1">
      <c r="A451" s="5">
        <v>43573</v>
      </c>
      <c r="B451" s="18" t="s">
        <v>15</v>
      </c>
      <c r="C451" s="36" t="s">
        <v>16</v>
      </c>
      <c r="D451" s="7" t="s">
        <v>1766</v>
      </c>
      <c r="E451" s="105"/>
      <c r="G451" s="7" t="s">
        <v>1767</v>
      </c>
      <c r="H451" s="73" t="s">
        <v>222</v>
      </c>
      <c r="I451" s="24" t="s">
        <v>40</v>
      </c>
      <c r="J451" s="8"/>
      <c r="K451" s="8"/>
      <c r="L451" s="11"/>
      <c r="M451" s="39" t="s">
        <v>102</v>
      </c>
      <c r="N451" s="43" t="s">
        <v>194</v>
      </c>
      <c r="O451" s="43" t="s">
        <v>195</v>
      </c>
    </row>
    <row r="452" spans="1:15" ht="27">
      <c r="A452" s="5">
        <v>43568</v>
      </c>
      <c r="B452" s="18" t="s">
        <v>15</v>
      </c>
      <c r="C452" s="36" t="s">
        <v>16</v>
      </c>
      <c r="D452" s="7" t="s">
        <v>1763</v>
      </c>
      <c r="E452" s="67" t="s">
        <v>1764</v>
      </c>
      <c r="F452" s="85" t="str">
        <f>HYPERLINK("https://drive.google.com/file/d/1UwsBImbH1Ye4dV_bablLYQP3PU8l5CFw/view?usp=drivesdk","https://drive.google.com/file/d/1UwsBImbH1Ye4dV_bablLYQP3PU8l5CFw/view?usp=drivesdk")</f>
        <v>https://drive.google.com/file/d/1UwsBImbH1Ye4dV_bablLYQP3PU8l5CFw/view?usp=drivesdk</v>
      </c>
      <c r="G452" s="7" t="s">
        <v>1765</v>
      </c>
      <c r="H452" s="95" t="s">
        <v>3203</v>
      </c>
      <c r="I452" s="24" t="s">
        <v>40</v>
      </c>
      <c r="J452" s="8">
        <v>19</v>
      </c>
      <c r="K452" s="8">
        <v>307</v>
      </c>
      <c r="L452" s="54">
        <v>9.930555555555555E-2</v>
      </c>
      <c r="M452" s="39" t="s">
        <v>22</v>
      </c>
      <c r="N452" s="43" t="s">
        <v>675</v>
      </c>
      <c r="O452" s="43" t="s">
        <v>879</v>
      </c>
    </row>
    <row r="453" spans="1:15" ht="40.5">
      <c r="A453" s="5">
        <v>43562</v>
      </c>
      <c r="B453" s="18" t="s">
        <v>15</v>
      </c>
      <c r="C453" s="36" t="s">
        <v>16</v>
      </c>
      <c r="D453" s="7" t="s">
        <v>1760</v>
      </c>
      <c r="E453" s="67" t="s">
        <v>1761</v>
      </c>
      <c r="F453" s="85" t="str">
        <f>HYPERLINK("https://drive.google.com/file/d/1nIPKVgn1JP5xpHoXQ_eoD7IZ61i11bSV/view?usp=drivesdk","https://drive.google.com/file/d/1nIPKVgn1JP5xpHoXQ_eoD7IZ61i11bSV/view?usp=drivesdk")</f>
        <v>https://drive.google.com/file/d/1nIPKVgn1JP5xpHoXQ_eoD7IZ61i11bSV/view?usp=drivesdk</v>
      </c>
      <c r="G453" s="7" t="s">
        <v>1762</v>
      </c>
      <c r="H453" s="73" t="s">
        <v>3203</v>
      </c>
      <c r="I453" s="24" t="s">
        <v>40</v>
      </c>
      <c r="J453" s="8">
        <v>24</v>
      </c>
      <c r="K453" s="8">
        <v>479</v>
      </c>
      <c r="L453" s="11">
        <v>9.0972222222222218E-2</v>
      </c>
      <c r="M453" s="39" t="s">
        <v>22</v>
      </c>
      <c r="N453" s="43" t="s">
        <v>675</v>
      </c>
      <c r="O453" s="43" t="s">
        <v>879</v>
      </c>
    </row>
    <row r="454" spans="1:15">
      <c r="A454" s="5">
        <v>43561</v>
      </c>
      <c r="B454" s="18" t="s">
        <v>15</v>
      </c>
      <c r="C454" s="36" t="s">
        <v>16</v>
      </c>
      <c r="D454" s="7" t="s">
        <v>1758</v>
      </c>
      <c r="E454" s="105"/>
      <c r="G454" s="7" t="s">
        <v>1759</v>
      </c>
      <c r="H454" s="95" t="s">
        <v>3245</v>
      </c>
      <c r="I454" s="24" t="s">
        <v>40</v>
      </c>
      <c r="J454" s="8"/>
      <c r="K454" s="8"/>
      <c r="L454" s="11"/>
      <c r="M454" s="39" t="s">
        <v>102</v>
      </c>
      <c r="N454" s="43" t="s">
        <v>194</v>
      </c>
      <c r="O454" s="43" t="s">
        <v>195</v>
      </c>
    </row>
    <row r="455" spans="1:15" ht="40.5">
      <c r="A455" s="5">
        <v>43555</v>
      </c>
      <c r="B455" s="18" t="s">
        <v>15</v>
      </c>
      <c r="C455" s="36" t="s">
        <v>16</v>
      </c>
      <c r="D455" s="7" t="s">
        <v>32</v>
      </c>
      <c r="E455" s="67" t="s">
        <v>1756</v>
      </c>
      <c r="F455" s="85" t="str">
        <f>HYPERLINK("https://drive.google.com/file/d/1PpFz2WNmYoMQaaxPxLWQbZPoazKHA6ZL/view?usp=drivesdk","https://drive.google.com/file/d/1PpFz2WNmYoMQaaxPxLWQbZPoazKHA6ZL/view?usp=drivesdk")</f>
        <v>https://drive.google.com/file/d/1PpFz2WNmYoMQaaxPxLWQbZPoazKHA6ZL/view?usp=drivesdk</v>
      </c>
      <c r="G455" s="7" t="s">
        <v>1757</v>
      </c>
      <c r="H455" s="73" t="s">
        <v>222</v>
      </c>
      <c r="I455" s="24" t="s">
        <v>40</v>
      </c>
      <c r="J455" s="8">
        <v>67</v>
      </c>
      <c r="K455" s="8">
        <v>305</v>
      </c>
      <c r="L455" s="54">
        <v>0.33958333333333329</v>
      </c>
      <c r="M455" s="39" t="s">
        <v>330</v>
      </c>
      <c r="N455" s="43" t="s">
        <v>331</v>
      </c>
      <c r="O455" s="43" t="s">
        <v>332</v>
      </c>
    </row>
    <row r="456" spans="1:15" ht="27">
      <c r="A456" s="5">
        <v>43554</v>
      </c>
      <c r="B456" s="18" t="s">
        <v>15</v>
      </c>
      <c r="C456" s="36" t="s">
        <v>16</v>
      </c>
      <c r="D456" s="7" t="s">
        <v>32</v>
      </c>
      <c r="E456" s="67" t="s">
        <v>1754</v>
      </c>
      <c r="F456" s="85" t="str">
        <f>HYPERLINK("https://drive.google.com/file/d/1Kl7kDfIBdZkrtHSIx0gRewK4KQJsrJLz/view?usp=drivesdk","https://drive.google.com/file/d/1Kl7kDfIBdZkrtHSIx0gRewK4KQJsrJLz/view?usp=drivesdk")</f>
        <v>https://drive.google.com/file/d/1Kl7kDfIBdZkrtHSIx0gRewK4KQJsrJLz/view?usp=drivesdk</v>
      </c>
      <c r="G456" s="7" t="s">
        <v>1755</v>
      </c>
      <c r="H456" s="73" t="s">
        <v>222</v>
      </c>
      <c r="I456" s="24" t="s">
        <v>40</v>
      </c>
      <c r="J456" s="8">
        <v>16</v>
      </c>
      <c r="K456" s="8">
        <v>162</v>
      </c>
      <c r="L456" s="11">
        <v>0.1048611111111111</v>
      </c>
      <c r="M456" s="39" t="s">
        <v>330</v>
      </c>
      <c r="N456" s="43" t="s">
        <v>331</v>
      </c>
      <c r="O456" s="43" t="s">
        <v>332</v>
      </c>
    </row>
    <row r="457" spans="1:15" ht="27" customHeight="1">
      <c r="A457" s="5">
        <v>43547</v>
      </c>
      <c r="B457" s="18" t="s">
        <v>15</v>
      </c>
      <c r="C457" s="23" t="s">
        <v>16</v>
      </c>
      <c r="D457" s="7" t="s">
        <v>1751</v>
      </c>
      <c r="E457" s="67" t="s">
        <v>1752</v>
      </c>
      <c r="F457" s="85" t="str">
        <f>HYPERLINK("https://drive.google.com/file/d/1DEYzw1Yq9_FJZOSNser4_0lUKIhwHih-/view?usp=drivesdk","https://drive.google.com/file/d/1DEYzw1Yq9_FJZOSNser4_0lUKIhwHih-/view?usp=drivesdk")</f>
        <v>https://drive.google.com/file/d/1DEYzw1Yq9_FJZOSNser4_0lUKIhwHih-/view?usp=drivesdk</v>
      </c>
      <c r="G457" s="7" t="s">
        <v>1753</v>
      </c>
      <c r="H457" s="73" t="s">
        <v>249</v>
      </c>
      <c r="I457" s="10"/>
      <c r="J457" s="8">
        <v>62</v>
      </c>
      <c r="K457" s="8">
        <v>1373</v>
      </c>
      <c r="L457" s="54">
        <v>0.27013888888888887</v>
      </c>
      <c r="M457" s="39" t="s">
        <v>22</v>
      </c>
      <c r="N457" s="43" t="s">
        <v>675</v>
      </c>
      <c r="O457" s="43" t="s">
        <v>879</v>
      </c>
    </row>
    <row r="458" spans="1:15" ht="27" customHeight="1">
      <c r="A458" s="5">
        <v>43512</v>
      </c>
      <c r="B458" s="18" t="s">
        <v>15</v>
      </c>
      <c r="C458" s="23" t="s">
        <v>16</v>
      </c>
      <c r="D458" s="7" t="s">
        <v>354</v>
      </c>
      <c r="E458" s="67" t="s">
        <v>1749</v>
      </c>
      <c r="F458" s="85" t="str">
        <f>HYPERLINK("https://drive.google.com/file/d/1mirGRTpmutk-m-dzI9tudW_0_bjYJ3_6/view?usp=drivesdk","https://drive.google.com/file/d/1mirGRTpmutk-m-dzI9tudW_0_bjYJ3_6/view?usp=drivesdk")</f>
        <v>https://drive.google.com/file/d/1mirGRTpmutk-m-dzI9tudW_0_bjYJ3_6/view?usp=drivesdk</v>
      </c>
      <c r="G458" s="7" t="s">
        <v>1750</v>
      </c>
      <c r="H458" s="95" t="s">
        <v>3225</v>
      </c>
      <c r="I458" s="10" t="s">
        <v>357</v>
      </c>
      <c r="J458" s="8">
        <v>187</v>
      </c>
      <c r="K458" s="8">
        <v>3185</v>
      </c>
      <c r="L458" s="54">
        <v>0.47708333333333341</v>
      </c>
      <c r="M458" s="39" t="s">
        <v>22</v>
      </c>
      <c r="N458" s="43" t="s">
        <v>675</v>
      </c>
      <c r="O458" s="43" t="s">
        <v>879</v>
      </c>
    </row>
    <row r="459" spans="1:15" ht="27" customHeight="1">
      <c r="A459" s="5">
        <v>43506</v>
      </c>
      <c r="B459" s="18" t="s">
        <v>15</v>
      </c>
      <c r="C459" s="23" t="s">
        <v>16</v>
      </c>
      <c r="D459" s="21" t="s">
        <v>1743</v>
      </c>
      <c r="E459" s="67" t="s">
        <v>1744</v>
      </c>
      <c r="F459" s="85" t="str">
        <f>HYPERLINK("https://drive.google.com/file/d/1ZWz0Ws8tNdEk3t2N05sMFBuCLj6h0Lnq/view?usp=drivesdk","https://drive.google.com/file/d/1ZWz0Ws8tNdEk3t2N05sMFBuCLj6h0Lnq/view?usp=drivesdk")</f>
        <v>https://drive.google.com/file/d/1ZWz0Ws8tNdEk3t2N05sMFBuCLj6h0Lnq/view?usp=drivesdk</v>
      </c>
      <c r="G459" s="7" t="s">
        <v>1745</v>
      </c>
      <c r="H459" s="95" t="s">
        <v>3287</v>
      </c>
      <c r="I459" s="40"/>
      <c r="J459" s="41">
        <v>11</v>
      </c>
      <c r="K459" s="41">
        <v>94</v>
      </c>
      <c r="L459" s="54">
        <v>5.347222222222222E-2</v>
      </c>
      <c r="M459" s="39" t="s">
        <v>330</v>
      </c>
      <c r="N459" s="43" t="s">
        <v>331</v>
      </c>
      <c r="O459" s="43" t="s">
        <v>332</v>
      </c>
    </row>
    <row r="460" spans="1:15" ht="14.25" customHeight="1">
      <c r="A460" s="5">
        <v>43506</v>
      </c>
      <c r="B460" s="18" t="s">
        <v>15</v>
      </c>
      <c r="C460" s="23" t="s">
        <v>16</v>
      </c>
      <c r="D460" s="21" t="s">
        <v>1746</v>
      </c>
      <c r="E460" s="67" t="s">
        <v>1747</v>
      </c>
      <c r="F460" s="85" t="str">
        <f>HYPERLINK("https://drive.google.com/file/d/1vT66UyBqVrGkekkepGAbjILQy_mEla3z/view?usp=drivesdk","https://drive.google.com/file/d/1vT66UyBqVrGkekkepGAbjILQy_mEla3z/view?usp=drivesdk")</f>
        <v>https://drive.google.com/file/d/1vT66UyBqVrGkekkepGAbjILQy_mEla3z/view?usp=drivesdk</v>
      </c>
      <c r="G460" s="21" t="s">
        <v>1748</v>
      </c>
      <c r="H460" s="95" t="s">
        <v>3280</v>
      </c>
      <c r="I460" s="40"/>
      <c r="J460" s="41">
        <v>31</v>
      </c>
      <c r="K460" s="41">
        <v>239</v>
      </c>
      <c r="L460" s="54">
        <v>0.1152777777777778</v>
      </c>
      <c r="M460" s="39" t="s">
        <v>330</v>
      </c>
      <c r="N460" s="43" t="s">
        <v>331</v>
      </c>
      <c r="O460" s="43" t="s">
        <v>332</v>
      </c>
    </row>
    <row r="461" spans="1:15" ht="27" customHeight="1">
      <c r="A461" s="5">
        <v>43505</v>
      </c>
      <c r="B461" s="18" t="s">
        <v>15</v>
      </c>
      <c r="C461" s="23" t="s">
        <v>16</v>
      </c>
      <c r="D461" s="7" t="s">
        <v>1740</v>
      </c>
      <c r="E461" s="67" t="s">
        <v>1741</v>
      </c>
      <c r="F461" s="85" t="str">
        <f>HYPERLINK("https://drive.google.com/file/d/15LABW1-G9mN9MaasuGu6PJOVFn5nvkUb/view?usp=drivesdk","https://drive.google.com/file/d/15LABW1-G9mN9MaasuGu6PJOVFn5nvkUb/view?usp=drivesdk")</f>
        <v>https://drive.google.com/file/d/15LABW1-G9mN9MaasuGu6PJOVFn5nvkUb/view?usp=drivesdk</v>
      </c>
      <c r="G461" s="7" t="s">
        <v>1742</v>
      </c>
      <c r="H461" s="95" t="s">
        <v>3287</v>
      </c>
      <c r="I461" s="10"/>
      <c r="J461" s="8">
        <v>10</v>
      </c>
      <c r="K461" s="8">
        <v>100</v>
      </c>
      <c r="L461" s="54">
        <v>4.8611111111111112E-2</v>
      </c>
      <c r="M461" s="39" t="s">
        <v>330</v>
      </c>
      <c r="N461" s="43" t="s">
        <v>331</v>
      </c>
      <c r="O461" s="43" t="s">
        <v>332</v>
      </c>
    </row>
    <row r="462" spans="1:15" ht="40.5" customHeight="1">
      <c r="A462" s="5">
        <v>43491</v>
      </c>
      <c r="B462" s="18" t="s">
        <v>15</v>
      </c>
      <c r="C462" s="23" t="s">
        <v>16</v>
      </c>
      <c r="D462" s="7" t="s">
        <v>1729</v>
      </c>
      <c r="E462" s="67" t="s">
        <v>1738</v>
      </c>
      <c r="F462" s="85" t="str">
        <f>HYPERLINK("https://drive.google.com/file/d/1mmrW58Gr3EOi4oOYz6IeTL4-U-mFPzQ8/view?usp=drivesdk","https://drive.google.com/file/d/1mmrW58Gr3EOi4oOYz6IeTL4-U-mFPzQ8/view?usp=drivesdk")</f>
        <v>https://drive.google.com/file/d/1mmrW58Gr3EOi4oOYz6IeTL4-U-mFPzQ8/view?usp=drivesdk</v>
      </c>
      <c r="G462" s="7" t="s">
        <v>1739</v>
      </c>
      <c r="H462" s="95" t="s">
        <v>3225</v>
      </c>
      <c r="I462" s="10"/>
      <c r="J462" s="8">
        <v>48</v>
      </c>
      <c r="K462" s="8">
        <v>905</v>
      </c>
      <c r="L462" s="11">
        <v>0.29444444444444451</v>
      </c>
      <c r="M462" s="39" t="s">
        <v>22</v>
      </c>
      <c r="N462" s="43" t="s">
        <v>675</v>
      </c>
      <c r="O462" s="43" t="s">
        <v>879</v>
      </c>
    </row>
    <row r="463" spans="1:15" ht="67.5">
      <c r="A463" s="5">
        <v>43484</v>
      </c>
      <c r="B463" s="18" t="s">
        <v>15</v>
      </c>
      <c r="C463" s="23" t="s">
        <v>16</v>
      </c>
      <c r="D463" s="7" t="s">
        <v>1735</v>
      </c>
      <c r="E463" s="67" t="s">
        <v>1736</v>
      </c>
      <c r="F463" s="85" t="str">
        <f>HYPERLINK("https://drive.google.com/file/d/1kAm0RfbpPcdT-bzsjjvB_n0aztSAj0Er/view?usp=drivesdk","https://drive.google.com/file/d/1kAm0RfbpPcdT-bzsjjvB_n0aztSAj0Er/view?usp=drivesdk")</f>
        <v>https://drive.google.com/file/d/1kAm0RfbpPcdT-bzsjjvB_n0aztSAj0Er/view?usp=drivesdk</v>
      </c>
      <c r="G463" s="7" t="s">
        <v>1737</v>
      </c>
      <c r="H463" s="95" t="s">
        <v>3213</v>
      </c>
      <c r="I463" s="10"/>
      <c r="J463" s="8">
        <v>62</v>
      </c>
      <c r="K463" s="8">
        <v>456</v>
      </c>
      <c r="L463" s="54">
        <v>0.19444444444444439</v>
      </c>
      <c r="M463" s="39" t="s">
        <v>22</v>
      </c>
      <c r="N463" s="43" t="s">
        <v>675</v>
      </c>
      <c r="O463" s="43" t="s">
        <v>879</v>
      </c>
    </row>
    <row r="464" spans="1:15" ht="40.5">
      <c r="A464" s="5">
        <v>43479</v>
      </c>
      <c r="B464" s="18" t="s">
        <v>15</v>
      </c>
      <c r="C464" s="23" t="s">
        <v>16</v>
      </c>
      <c r="D464" s="7" t="s">
        <v>1732</v>
      </c>
      <c r="E464" s="67" t="s">
        <v>1733</v>
      </c>
      <c r="F464" s="85" t="str">
        <f>HYPERLINK("https://drive.google.com/file/d/1Ysy8-0a_d-lgHFvinghB9GI9DnnUenWz/view?usp=drivesdk","https://drive.google.com/file/d/1Ysy8-0a_d-lgHFvinghB9GI9DnnUenWz/view?usp=drivesdk")</f>
        <v>https://drive.google.com/file/d/1Ysy8-0a_d-lgHFvinghB9GI9DnnUenWz/view?usp=drivesdk</v>
      </c>
      <c r="G464" s="7" t="s">
        <v>1734</v>
      </c>
      <c r="H464" s="73" t="s">
        <v>222</v>
      </c>
      <c r="I464" s="10"/>
      <c r="J464" s="8">
        <v>25</v>
      </c>
      <c r="K464" s="8">
        <v>236</v>
      </c>
      <c r="L464" s="11">
        <v>0.1159722222222222</v>
      </c>
      <c r="M464" s="39" t="s">
        <v>330</v>
      </c>
      <c r="N464" s="43" t="s">
        <v>331</v>
      </c>
      <c r="O464" s="43" t="s">
        <v>332</v>
      </c>
    </row>
    <row r="465" spans="1:15" ht="54">
      <c r="A465" s="5">
        <v>43478</v>
      </c>
      <c r="B465" s="18" t="s">
        <v>15</v>
      </c>
      <c r="C465" s="23" t="s">
        <v>16</v>
      </c>
      <c r="D465" s="7" t="s">
        <v>1729</v>
      </c>
      <c r="E465" s="67" t="s">
        <v>1730</v>
      </c>
      <c r="F465" s="85" t="str">
        <f>HYPERLINK("https://drive.google.com/file/d/1GeFA75TGttT324GaQ4vnnULPELohNXNb/view?usp=drivesdk","https://drive.google.com/file/d/1GeFA75TGttT324GaQ4vnnULPELohNXNb/view?usp=drivesdk")</f>
        <v>https://drive.google.com/file/d/1GeFA75TGttT324GaQ4vnnULPELohNXNb/view?usp=drivesdk</v>
      </c>
      <c r="G465" s="7" t="s">
        <v>1731</v>
      </c>
      <c r="H465" s="95" t="s">
        <v>3225</v>
      </c>
      <c r="I465" s="10"/>
      <c r="J465" s="8">
        <v>88</v>
      </c>
      <c r="K465" s="8">
        <v>2363</v>
      </c>
      <c r="L465" s="11">
        <v>0.33958333333333329</v>
      </c>
      <c r="M465" s="39" t="s">
        <v>22</v>
      </c>
      <c r="N465" s="43" t="s">
        <v>675</v>
      </c>
      <c r="O465" s="43" t="s">
        <v>879</v>
      </c>
    </row>
    <row r="466" spans="1:15" ht="27" customHeight="1">
      <c r="A466" s="5">
        <v>43457</v>
      </c>
      <c r="B466" s="18" t="s">
        <v>15</v>
      </c>
      <c r="C466" s="23" t="s">
        <v>16</v>
      </c>
      <c r="D466" s="7" t="s">
        <v>1726</v>
      </c>
      <c r="E466" s="67" t="s">
        <v>1727</v>
      </c>
      <c r="F466" s="85" t="str">
        <f>HYPERLINK("https://drive.google.com/file/d/1kjEqZBywbTOE_5T3LFUv-XPpFJlI3H_3/view?usp=drivesdk","https://drive.google.com/file/d/1kjEqZBywbTOE_5T3LFUv-XPpFJlI3H_3/view?usp=drivesdk")</f>
        <v>https://drive.google.com/file/d/1kjEqZBywbTOE_5T3LFUv-XPpFJlI3H_3/view?usp=drivesdk</v>
      </c>
      <c r="G466" s="7" t="s">
        <v>1728</v>
      </c>
      <c r="H466" s="95" t="s">
        <v>3344</v>
      </c>
      <c r="I466" s="10"/>
      <c r="J466" s="8">
        <v>130</v>
      </c>
      <c r="K466" s="8">
        <v>897</v>
      </c>
      <c r="L466" s="11">
        <v>0.34097222222222218</v>
      </c>
      <c r="M466" s="39" t="s">
        <v>22</v>
      </c>
      <c r="N466" s="43" t="s">
        <v>675</v>
      </c>
      <c r="O466" s="43" t="s">
        <v>1584</v>
      </c>
    </row>
    <row r="467" spans="1:15" ht="13.5">
      <c r="A467" s="5">
        <v>43450</v>
      </c>
      <c r="B467" s="18" t="s">
        <v>15</v>
      </c>
      <c r="C467" s="23" t="s">
        <v>223</v>
      </c>
      <c r="D467" s="7" t="s">
        <v>730</v>
      </c>
      <c r="E467" s="67" t="s">
        <v>1724</v>
      </c>
      <c r="F467" s="85" t="str">
        <f>HYPERLINK("https://drive.google.com/file/d/1DzX3kChZ0NFbJMO0R7PuAiCEKRmqbyxA/view?usp=drivesdk","https://drive.google.com/file/d/1DzX3kChZ0NFbJMO0R7PuAiCEKRmqbyxA/view?usp=drivesdk")</f>
        <v>https://drive.google.com/file/d/1DzX3kChZ0NFbJMO0R7PuAiCEKRmqbyxA/view?usp=drivesdk</v>
      </c>
      <c r="G467" s="7" t="s">
        <v>1725</v>
      </c>
      <c r="H467" s="95" t="s">
        <v>3209</v>
      </c>
      <c r="I467" s="23"/>
      <c r="J467" s="8">
        <v>39</v>
      </c>
      <c r="K467" s="8">
        <v>279</v>
      </c>
      <c r="L467" s="54">
        <v>9.375E-2</v>
      </c>
      <c r="M467" s="39" t="s">
        <v>720</v>
      </c>
      <c r="N467" s="43" t="s">
        <v>23</v>
      </c>
      <c r="O467" s="43" t="s">
        <v>802</v>
      </c>
    </row>
    <row r="468" spans="1:15" ht="40.5">
      <c r="A468" s="5">
        <v>43436</v>
      </c>
      <c r="B468" s="18" t="s">
        <v>15</v>
      </c>
      <c r="C468" s="33" t="s">
        <v>16</v>
      </c>
      <c r="D468" s="7" t="s">
        <v>32</v>
      </c>
      <c r="E468" s="67" t="s">
        <v>1722</v>
      </c>
      <c r="F468" s="85" t="str">
        <f>HYPERLINK("https://drive.google.com/file/d/1Qgw99jgPDhloEmqEnDRkWjyHA2VPqfx3/view?usp=drivesdk","https://drive.google.com/file/d/1Qgw99jgPDhloEmqEnDRkWjyHA2VPqfx3/view?usp=drivesdk")</f>
        <v>https://drive.google.com/file/d/1Qgw99jgPDhloEmqEnDRkWjyHA2VPqfx3/view?usp=drivesdk</v>
      </c>
      <c r="G468" s="7" t="s">
        <v>1723</v>
      </c>
      <c r="H468" s="73" t="s">
        <v>222</v>
      </c>
      <c r="I468" s="15" t="s">
        <v>404</v>
      </c>
      <c r="J468" s="8">
        <v>30</v>
      </c>
      <c r="K468" s="8">
        <v>213</v>
      </c>
      <c r="L468" s="11">
        <v>0.18124999999999999</v>
      </c>
      <c r="M468" s="39" t="s">
        <v>330</v>
      </c>
      <c r="N468" s="43" t="s">
        <v>331</v>
      </c>
      <c r="O468" s="43" t="s">
        <v>332</v>
      </c>
    </row>
    <row r="469" spans="1:15" ht="27" customHeight="1">
      <c r="A469" s="5">
        <v>43427</v>
      </c>
      <c r="B469" s="18" t="s">
        <v>15</v>
      </c>
      <c r="C469" s="23" t="s">
        <v>16</v>
      </c>
      <c r="D469" s="7" t="s">
        <v>1716</v>
      </c>
      <c r="E469" s="67" t="s">
        <v>1717</v>
      </c>
      <c r="F469" s="85" t="str">
        <f>HYPERLINK("https://drive.google.com/file/d/1irtzsMBX603XojXoxrOVqmMN7H_wodVw/view?usp=drivesdk","https://drive.google.com/file/d/1irtzsMBX603XojXoxrOVqmMN7H_wodVw/view?usp=drivesdk")</f>
        <v>https://drive.google.com/file/d/1irtzsMBX603XojXoxrOVqmMN7H_wodVw/view?usp=drivesdk</v>
      </c>
      <c r="G469" s="7" t="s">
        <v>1718</v>
      </c>
      <c r="H469" s="95" t="s">
        <v>3224</v>
      </c>
      <c r="I469" s="15" t="s">
        <v>404</v>
      </c>
      <c r="J469" s="8">
        <v>29</v>
      </c>
      <c r="K469" s="8">
        <v>210</v>
      </c>
      <c r="L469" s="11">
        <v>8.1250000000000003E-2</v>
      </c>
      <c r="M469" s="39" t="s">
        <v>22</v>
      </c>
      <c r="N469" s="43" t="s">
        <v>675</v>
      </c>
      <c r="O469" s="43" t="s">
        <v>879</v>
      </c>
    </row>
    <row r="470" spans="1:15" ht="40.5" customHeight="1">
      <c r="A470" s="5">
        <v>43427</v>
      </c>
      <c r="B470" s="18" t="s">
        <v>15</v>
      </c>
      <c r="C470" s="23" t="s">
        <v>16</v>
      </c>
      <c r="D470" s="21" t="s">
        <v>1719</v>
      </c>
      <c r="E470" s="67" t="s">
        <v>1720</v>
      </c>
      <c r="F470" s="85" t="str">
        <f>HYPERLINK("https://drive.google.com/file/d/1VzY7FlPr_tTtmxKpe9kLYDV90tOcxHqO/view?usp=drivesdk","https://drive.google.com/file/d/1VzY7FlPr_tTtmxKpe9kLYDV90tOcxHqO/view?usp=drivesdk")</f>
        <v>https://drive.google.com/file/d/1VzY7FlPr_tTtmxKpe9kLYDV90tOcxHqO/view?usp=drivesdk</v>
      </c>
      <c r="G470" s="21" t="s">
        <v>1721</v>
      </c>
      <c r="H470" s="95" t="s">
        <v>3292</v>
      </c>
      <c r="I470" s="15" t="s">
        <v>404</v>
      </c>
      <c r="J470" s="41">
        <v>25</v>
      </c>
      <c r="K470" s="41">
        <v>150</v>
      </c>
      <c r="L470" s="46">
        <v>0.1131944444444444</v>
      </c>
      <c r="M470" s="39" t="s">
        <v>22</v>
      </c>
      <c r="N470" s="48" t="s">
        <v>675</v>
      </c>
      <c r="O470" s="43" t="s">
        <v>879</v>
      </c>
    </row>
    <row r="471" spans="1:15" ht="40.5">
      <c r="A471" s="5">
        <v>43422</v>
      </c>
      <c r="B471" s="18" t="s">
        <v>15</v>
      </c>
      <c r="C471" s="23" t="s">
        <v>16</v>
      </c>
      <c r="D471" s="7" t="s">
        <v>1712</v>
      </c>
      <c r="E471" s="67" t="s">
        <v>1713</v>
      </c>
      <c r="F471" s="85" t="str">
        <f>HYPERLINK("https://drive.google.com/file/d/1dQBGMggcxUUk5syjRKRwzUJg7cOLT8eC/view?usp=drivesdk","https://drive.google.com/file/d/1dQBGMggcxUUk5syjRKRwzUJg7cOLT8eC/view?usp=drivesdk")</f>
        <v>https://drive.google.com/file/d/1dQBGMggcxUUk5syjRKRwzUJg7cOLT8eC/view?usp=drivesdk</v>
      </c>
      <c r="G471" s="7" t="s">
        <v>1714</v>
      </c>
      <c r="H471" s="95" t="s">
        <v>3208</v>
      </c>
      <c r="I471" s="15" t="s">
        <v>404</v>
      </c>
      <c r="J471" s="8">
        <v>20</v>
      </c>
      <c r="K471" s="8">
        <v>70</v>
      </c>
      <c r="L471" s="54">
        <v>6.9444444444444448E-2</v>
      </c>
      <c r="M471" s="39" t="s">
        <v>102</v>
      </c>
      <c r="N471" s="43" t="s">
        <v>103</v>
      </c>
      <c r="O471" s="43" t="s">
        <v>1715</v>
      </c>
    </row>
    <row r="472" spans="1:15" ht="27" customHeight="1">
      <c r="A472" s="5">
        <v>43421</v>
      </c>
      <c r="B472" s="18" t="s">
        <v>15</v>
      </c>
      <c r="C472" s="23" t="s">
        <v>16</v>
      </c>
      <c r="D472" s="7" t="s">
        <v>1709</v>
      </c>
      <c r="E472" s="67" t="s">
        <v>1710</v>
      </c>
      <c r="F472" s="85" t="str">
        <f>HYPERLINK("https://drive.google.com/file/d/1DMTOconuwh48gv4np7_e8_j3fIKcmAZl/view?usp=drivesdk","https://drive.google.com/file/d/1DMTOconuwh48gv4np7_e8_j3fIKcmAZl/view?usp=drivesdk")</f>
        <v>https://drive.google.com/file/d/1DMTOconuwh48gv4np7_e8_j3fIKcmAZl/view?usp=drivesdk</v>
      </c>
      <c r="G472" s="7" t="s">
        <v>1711</v>
      </c>
      <c r="H472" s="95" t="s">
        <v>3224</v>
      </c>
      <c r="I472" s="15" t="s">
        <v>404</v>
      </c>
      <c r="J472" s="8">
        <v>80</v>
      </c>
      <c r="K472" s="8">
        <v>1074</v>
      </c>
      <c r="L472" s="54">
        <v>0.28541666666666671</v>
      </c>
      <c r="M472" s="39" t="s">
        <v>22</v>
      </c>
      <c r="N472" s="43" t="s">
        <v>675</v>
      </c>
      <c r="O472" s="43" t="s">
        <v>879</v>
      </c>
    </row>
    <row r="473" spans="1:15" ht="40.5">
      <c r="A473" s="5">
        <v>43415</v>
      </c>
      <c r="B473" s="18" t="s">
        <v>15</v>
      </c>
      <c r="C473" s="23" t="s">
        <v>16</v>
      </c>
      <c r="D473" s="7" t="s">
        <v>1706</v>
      </c>
      <c r="E473" s="67" t="s">
        <v>1707</v>
      </c>
      <c r="F473" s="85" t="str">
        <f>HYPERLINK("https://drive.google.com/file/d/1-HwIP-4G-jLpDPDNxppumtK7-83vwmU7/view?usp=drivesdk","https://drive.google.com/file/d/1-HwIP-4G-jLpDPDNxppumtK7-83vwmU7/view?usp=drivesdk")</f>
        <v>https://drive.google.com/file/d/1-HwIP-4G-jLpDPDNxppumtK7-83vwmU7/view?usp=drivesdk</v>
      </c>
      <c r="G473" s="7" t="s">
        <v>1708</v>
      </c>
      <c r="H473" s="95" t="s">
        <v>3221</v>
      </c>
      <c r="I473" s="15" t="s">
        <v>404</v>
      </c>
      <c r="J473" s="8">
        <v>75</v>
      </c>
      <c r="K473" s="8">
        <v>1410</v>
      </c>
      <c r="L473" s="54">
        <v>0.33819444444444452</v>
      </c>
      <c r="M473" s="39" t="s">
        <v>22</v>
      </c>
      <c r="N473" s="43" t="s">
        <v>675</v>
      </c>
      <c r="O473" s="43" t="s">
        <v>879</v>
      </c>
    </row>
    <row r="474" spans="1:15" ht="27" customHeight="1">
      <c r="A474" s="5">
        <v>43407</v>
      </c>
      <c r="B474" s="18" t="s">
        <v>15</v>
      </c>
      <c r="C474" s="23" t="s">
        <v>16</v>
      </c>
      <c r="D474" s="7" t="s">
        <v>1703</v>
      </c>
      <c r="E474" s="67" t="s">
        <v>1704</v>
      </c>
      <c r="F474" s="85" t="str">
        <f>HYPERLINK("https://drive.google.com/file/d/1PpjDJGj8fuC2kHOpgOymveCg8F5v90_J/view?usp=drivesdk","https://drive.google.com/file/d/1PpjDJGj8fuC2kHOpgOymveCg8F5v90_J/view?usp=drivesdk")</f>
        <v>https://drive.google.com/file/d/1PpjDJGj8fuC2kHOpgOymveCg8F5v90_J/view?usp=drivesdk</v>
      </c>
      <c r="G474" s="7" t="s">
        <v>1705</v>
      </c>
      <c r="H474" s="95" t="s">
        <v>3215</v>
      </c>
      <c r="I474" s="15" t="s">
        <v>404</v>
      </c>
      <c r="J474" s="8">
        <v>53</v>
      </c>
      <c r="K474" s="8">
        <v>1371</v>
      </c>
      <c r="L474" s="11">
        <v>0.30555555555555558</v>
      </c>
      <c r="M474" s="39" t="s">
        <v>22</v>
      </c>
      <c r="N474" s="43" t="s">
        <v>675</v>
      </c>
      <c r="O474" s="43" t="s">
        <v>879</v>
      </c>
    </row>
    <row r="475" spans="1:15" ht="40.5">
      <c r="A475" s="5">
        <v>43401</v>
      </c>
      <c r="B475" s="18" t="s">
        <v>15</v>
      </c>
      <c r="C475" s="23" t="s">
        <v>16</v>
      </c>
      <c r="D475" s="7" t="s">
        <v>1700</v>
      </c>
      <c r="E475" s="67" t="s">
        <v>1701</v>
      </c>
      <c r="F475" s="85" t="str">
        <f>HYPERLINK("https://drive.google.com/file/d/1n99-S1Fqs9LNuSyWJ-yx9s9c8Gd8zErz/view?usp=drivesdk","https://drive.google.com/file/d/1n99-S1Fqs9LNuSyWJ-yx9s9c8Gd8zErz/view?usp=drivesdk")</f>
        <v>https://drive.google.com/file/d/1n99-S1Fqs9LNuSyWJ-yx9s9c8Gd8zErz/view?usp=drivesdk</v>
      </c>
      <c r="G475" s="7" t="s">
        <v>1702</v>
      </c>
      <c r="H475" s="95" t="s">
        <v>3203</v>
      </c>
      <c r="I475" s="15" t="s">
        <v>404</v>
      </c>
      <c r="J475" s="8">
        <v>60</v>
      </c>
      <c r="K475" s="8">
        <v>1620</v>
      </c>
      <c r="L475" s="54">
        <v>0.28055555555555561</v>
      </c>
      <c r="M475" s="39" t="s">
        <v>22</v>
      </c>
      <c r="N475" s="43" t="s">
        <v>675</v>
      </c>
      <c r="O475" s="43" t="s">
        <v>879</v>
      </c>
    </row>
    <row r="476" spans="1:15" ht="27" customHeight="1">
      <c r="A476" s="5">
        <v>43394</v>
      </c>
      <c r="B476" s="18" t="s">
        <v>15</v>
      </c>
      <c r="C476" s="23" t="s">
        <v>16</v>
      </c>
      <c r="D476" s="7" t="s">
        <v>1697</v>
      </c>
      <c r="E476" s="67" t="s">
        <v>1698</v>
      </c>
      <c r="F476" s="85" t="str">
        <f>HYPERLINK("https://drive.google.com/file/d/1OFF60cE0o-L2OHuwMAd0BUtuns_FeClb/view?usp=drivesdk","https://drive.google.com/file/d/1OFF60cE0o-L2OHuwMAd0BUtuns_FeClb/view?usp=drivesdk")</f>
        <v>https://drive.google.com/file/d/1OFF60cE0o-L2OHuwMAd0BUtuns_FeClb/view?usp=drivesdk</v>
      </c>
      <c r="G476" s="7" t="s">
        <v>1699</v>
      </c>
      <c r="H476" s="95" t="s">
        <v>3209</v>
      </c>
      <c r="I476" s="10"/>
      <c r="J476" s="8">
        <v>54</v>
      </c>
      <c r="K476" s="8">
        <v>205</v>
      </c>
      <c r="L476" s="54">
        <v>0.15763888888888891</v>
      </c>
      <c r="M476" s="39" t="s">
        <v>102</v>
      </c>
      <c r="N476" s="43" t="s">
        <v>194</v>
      </c>
      <c r="O476" s="43" t="s">
        <v>195</v>
      </c>
    </row>
    <row r="477" spans="1:15" ht="27">
      <c r="A477" s="5">
        <v>43393</v>
      </c>
      <c r="B477" s="18" t="s">
        <v>15</v>
      </c>
      <c r="C477" s="23" t="s">
        <v>16</v>
      </c>
      <c r="D477" s="7" t="s">
        <v>1694</v>
      </c>
      <c r="E477" s="67" t="s">
        <v>1695</v>
      </c>
      <c r="F477" s="85" t="str">
        <f>HYPERLINK("https://drive.google.com/file/d/1NBPsl7yyDsuN9F2iMI3XbzOuk9qG8z_A/view?usp=drivesdk","https://drive.google.com/file/d/1NBPsl7yyDsuN9F2iMI3XbzOuk9qG8z_A/view?usp=drivesdk")</f>
        <v>https://drive.google.com/file/d/1NBPsl7yyDsuN9F2iMI3XbzOuk9qG8z_A/view?usp=drivesdk</v>
      </c>
      <c r="G477" s="7" t="s">
        <v>1696</v>
      </c>
      <c r="H477" s="95" t="s">
        <v>3203</v>
      </c>
      <c r="I477" s="15" t="s">
        <v>404</v>
      </c>
      <c r="J477" s="8">
        <v>54</v>
      </c>
      <c r="K477" s="8">
        <v>1333</v>
      </c>
      <c r="L477" s="54">
        <v>0.30416666666666659</v>
      </c>
      <c r="M477" s="39" t="s">
        <v>22</v>
      </c>
      <c r="N477" s="43" t="s">
        <v>675</v>
      </c>
      <c r="O477" s="43" t="s">
        <v>879</v>
      </c>
    </row>
    <row r="478" spans="1:15" ht="27">
      <c r="A478" s="5">
        <v>43381</v>
      </c>
      <c r="B478" s="18" t="s">
        <v>15</v>
      </c>
      <c r="C478" s="23" t="s">
        <v>16</v>
      </c>
      <c r="D478" s="7" t="s">
        <v>276</v>
      </c>
      <c r="E478" s="67" t="s">
        <v>1692</v>
      </c>
      <c r="F478" s="85" t="str">
        <f>HYPERLINK("https://drive.google.com/file/d/1KQtBtMxjUBunlfxI2LvdDctqVWw8-ocX/view?usp=drivesdk","https://drive.google.com/file/d/1KQtBtMxjUBunlfxI2LvdDctqVWw8-ocX/view?usp=drivesdk")</f>
        <v>https://drive.google.com/file/d/1KQtBtMxjUBunlfxI2LvdDctqVWw8-ocX/view?usp=drivesdk</v>
      </c>
      <c r="G478" s="7" t="s">
        <v>1693</v>
      </c>
      <c r="H478" s="95" t="s">
        <v>3202</v>
      </c>
      <c r="I478" s="23" t="s">
        <v>276</v>
      </c>
      <c r="J478" s="8">
        <v>44</v>
      </c>
      <c r="K478" s="8">
        <v>1257</v>
      </c>
      <c r="L478" s="54">
        <v>0.17708333333333329</v>
      </c>
      <c r="M478" s="39" t="s">
        <v>22</v>
      </c>
      <c r="N478" s="43" t="s">
        <v>675</v>
      </c>
      <c r="O478" s="43" t="s">
        <v>1584</v>
      </c>
    </row>
    <row r="479" spans="1:15" ht="40.5">
      <c r="A479" s="5">
        <v>43380</v>
      </c>
      <c r="B479" s="18" t="s">
        <v>15</v>
      </c>
      <c r="C479" s="23" t="s">
        <v>16</v>
      </c>
      <c r="D479" s="7" t="s">
        <v>1689</v>
      </c>
      <c r="E479" s="67" t="s">
        <v>1690</v>
      </c>
      <c r="F479" s="85" t="str">
        <f>HYPERLINK("https://drive.google.com/file/d/1cwAhmHHUZpRl0ZNcE6YLu_NVN9DSFsgd/view?usp=drivesdk","https://drive.google.com/file/d/1cwAhmHHUZpRl0ZNcE6YLu_NVN9DSFsgd/view?usp=drivesdk")</f>
        <v>https://drive.google.com/file/d/1cwAhmHHUZpRl0ZNcE6YLu_NVN9DSFsgd/view?usp=drivesdk</v>
      </c>
      <c r="G479" s="7" t="s">
        <v>1691</v>
      </c>
      <c r="H479" s="95" t="s">
        <v>3202</v>
      </c>
      <c r="I479" s="15" t="s">
        <v>404</v>
      </c>
      <c r="J479" s="8">
        <v>74</v>
      </c>
      <c r="K479" s="8">
        <v>1497</v>
      </c>
      <c r="L479" s="54">
        <v>0.2416666666666667</v>
      </c>
      <c r="M479" s="39" t="s">
        <v>22</v>
      </c>
      <c r="N479" s="43" t="s">
        <v>675</v>
      </c>
      <c r="O479" s="43" t="s">
        <v>879</v>
      </c>
    </row>
    <row r="480" spans="1:15" ht="27">
      <c r="A480" s="5">
        <v>43379</v>
      </c>
      <c r="B480" s="18" t="s">
        <v>15</v>
      </c>
      <c r="C480" s="23" t="s">
        <v>16</v>
      </c>
      <c r="D480" s="7" t="s">
        <v>1686</v>
      </c>
      <c r="E480" s="67" t="s">
        <v>1687</v>
      </c>
      <c r="F480" s="85" t="str">
        <f>HYPERLINK("https://drive.google.com/file/d/1lE40K1EJX3JONc2aX_ISE5LxtstS01SH/view?usp=drivesdk","https://drive.google.com/file/d/1lE40K1EJX3JONc2aX_ISE5LxtstS01SH/view?usp=drivesdk")</f>
        <v>https://drive.google.com/file/d/1lE40K1EJX3JONc2aX_ISE5LxtstS01SH/view?usp=drivesdk</v>
      </c>
      <c r="G480" s="7" t="s">
        <v>1688</v>
      </c>
      <c r="H480" s="73" t="s">
        <v>138</v>
      </c>
      <c r="I480" s="15" t="s">
        <v>404</v>
      </c>
      <c r="J480" s="8">
        <v>43</v>
      </c>
      <c r="K480" s="8">
        <v>790</v>
      </c>
      <c r="L480" s="54">
        <v>0.17430555555555549</v>
      </c>
      <c r="M480" s="39" t="s">
        <v>22</v>
      </c>
      <c r="N480" s="43" t="s">
        <v>675</v>
      </c>
      <c r="O480" s="43" t="s">
        <v>879</v>
      </c>
    </row>
    <row r="481" spans="1:15" ht="14.25" customHeight="1">
      <c r="A481" s="5">
        <v>43359</v>
      </c>
      <c r="B481" s="18" t="s">
        <v>15</v>
      </c>
      <c r="C481" s="23" t="s">
        <v>16</v>
      </c>
      <c r="D481" s="7" t="s">
        <v>880</v>
      </c>
      <c r="E481" s="67" t="s">
        <v>1684</v>
      </c>
      <c r="F481" s="85" t="str">
        <f>HYPERLINK("https://drive.google.com/file/d/18myZet_dWikp4F_ss1e-J2dzU9eg7WpF/view?usp=drivesdk","https://drive.google.com/file/d/18myZet_dWikp4F_ss1e-J2dzU9eg7WpF/view?usp=drivesdk")</f>
        <v>https://drive.google.com/file/d/18myZet_dWikp4F_ss1e-J2dzU9eg7WpF/view?usp=drivesdk</v>
      </c>
      <c r="G481" s="7" t="s">
        <v>1685</v>
      </c>
      <c r="H481" s="95" t="s">
        <v>3209</v>
      </c>
      <c r="I481" s="10"/>
      <c r="J481" s="8">
        <v>60</v>
      </c>
      <c r="K481" s="8">
        <v>440</v>
      </c>
      <c r="L481" s="54">
        <v>0.1791666666666667</v>
      </c>
      <c r="M481" s="39" t="s">
        <v>102</v>
      </c>
      <c r="N481" s="43" t="s">
        <v>194</v>
      </c>
      <c r="O481" s="43" t="s">
        <v>195</v>
      </c>
    </row>
    <row r="482" spans="1:15" ht="27">
      <c r="A482" s="5">
        <v>43352</v>
      </c>
      <c r="B482" s="18" t="s">
        <v>15</v>
      </c>
      <c r="C482" s="23" t="s">
        <v>16</v>
      </c>
      <c r="D482" s="7" t="s">
        <v>244</v>
      </c>
      <c r="E482" s="67" t="s">
        <v>1682</v>
      </c>
      <c r="F482" s="85" t="str">
        <f>HYPERLINK("https://drive.google.com/file/d/15nbpQ7u52UdLkkUiooZNlCu5m63yVpZa/view?usp=drivesdk","https://drive.google.com/file/d/15nbpQ7u52UdLkkUiooZNlCu5m63yVpZa/view?usp=drivesdk")</f>
        <v>https://drive.google.com/file/d/15nbpQ7u52UdLkkUiooZNlCu5m63yVpZa/view?usp=drivesdk</v>
      </c>
      <c r="G482" s="7" t="s">
        <v>1683</v>
      </c>
      <c r="H482" s="95" t="s">
        <v>3203</v>
      </c>
      <c r="I482" s="7" t="s">
        <v>244</v>
      </c>
      <c r="J482" s="8">
        <v>57</v>
      </c>
      <c r="K482" s="8">
        <v>1787</v>
      </c>
      <c r="L482" s="11">
        <v>0.19166666666666671</v>
      </c>
      <c r="M482" s="39" t="s">
        <v>22</v>
      </c>
      <c r="N482" s="43" t="s">
        <v>675</v>
      </c>
      <c r="O482" s="43" t="s">
        <v>879</v>
      </c>
    </row>
    <row r="483" spans="1:15">
      <c r="A483" s="5">
        <v>43351</v>
      </c>
      <c r="B483" s="19" t="s">
        <v>1678</v>
      </c>
      <c r="C483" s="23" t="s">
        <v>1336</v>
      </c>
      <c r="D483" s="21" t="s">
        <v>1679</v>
      </c>
      <c r="E483" s="67" t="s">
        <v>1680</v>
      </c>
      <c r="F483" s="85" t="str">
        <f>HYPERLINK("https://drive.google.com/file/d/1TgLlnKS_8LeXITP7kCIJsuUqDDafwQbP/view?usp=drivesdk","https://drive.google.com/file/d/1TgLlnKS_8LeXITP7kCIJsuUqDDafwQbP/view?usp=drivesdk")</f>
        <v>https://drive.google.com/file/d/1TgLlnKS_8LeXITP7kCIJsuUqDDafwQbP/view?usp=drivesdk</v>
      </c>
      <c r="G483" s="21" t="s">
        <v>1681</v>
      </c>
      <c r="H483" s="95" t="s">
        <v>3208</v>
      </c>
      <c r="I483" s="40"/>
      <c r="J483" s="41">
        <v>6</v>
      </c>
      <c r="K483" s="41">
        <v>429</v>
      </c>
      <c r="L483" s="54">
        <v>0.1756944444444444</v>
      </c>
      <c r="M483" s="53" t="s">
        <v>265</v>
      </c>
      <c r="N483" s="48" t="s">
        <v>265</v>
      </c>
      <c r="O483" s="48" t="s">
        <v>265</v>
      </c>
    </row>
    <row r="484" spans="1:15" ht="18.75" customHeight="1">
      <c r="A484" s="5">
        <v>43345</v>
      </c>
      <c r="B484" s="18" t="s">
        <v>15</v>
      </c>
      <c r="C484" s="23" t="s">
        <v>16</v>
      </c>
      <c r="D484" s="7" t="s">
        <v>1675</v>
      </c>
      <c r="E484" s="67" t="s">
        <v>1676</v>
      </c>
      <c r="F484" s="85" t="str">
        <f>HYPERLINK("https://drive.google.com/file/d/1GeYuMll7E9xn40p9zWAQLJji_YlQgMuB/view?usp=drivesdk","https://drive.google.com/file/d/1GeYuMll7E9xn40p9zWAQLJji_YlQgMuB/view?usp=drivesdk")</f>
        <v>https://drive.google.com/file/d/1GeYuMll7E9xn40p9zWAQLJji_YlQgMuB/view?usp=drivesdk</v>
      </c>
      <c r="G484" s="7" t="s">
        <v>1677</v>
      </c>
      <c r="H484" s="95" t="s">
        <v>3234</v>
      </c>
      <c r="I484" s="10"/>
      <c r="J484" s="8">
        <v>64</v>
      </c>
      <c r="K484" s="8">
        <v>881</v>
      </c>
      <c r="L484" s="11">
        <v>0.1784722222222222</v>
      </c>
      <c r="M484" s="39" t="s">
        <v>330</v>
      </c>
      <c r="N484" s="43" t="s">
        <v>331</v>
      </c>
      <c r="O484" s="43" t="s">
        <v>332</v>
      </c>
    </row>
    <row r="485" spans="1:15" ht="27" customHeight="1">
      <c r="A485" s="5">
        <v>43330</v>
      </c>
      <c r="B485" s="18" t="s">
        <v>15</v>
      </c>
      <c r="C485" s="23" t="s">
        <v>16</v>
      </c>
      <c r="D485" s="7" t="s">
        <v>1672</v>
      </c>
      <c r="E485" s="67" t="s">
        <v>1673</v>
      </c>
      <c r="F485" s="85" t="str">
        <f>HYPERLINK("https://drive.google.com/file/d/1DYLOkg11_wgCtAH2odFGt9JjvF3XwjuP/view?usp=drivesdk","https://drive.google.com/file/d/1DYLOkg11_wgCtAH2odFGt9JjvF3XwjuP/view?usp=drivesdk")</f>
        <v>https://drive.google.com/file/d/1DYLOkg11_wgCtAH2odFGt9JjvF3XwjuP/view?usp=drivesdk</v>
      </c>
      <c r="G485" s="7" t="s">
        <v>1674</v>
      </c>
      <c r="H485" s="95" t="s">
        <v>3295</v>
      </c>
      <c r="I485" s="10"/>
      <c r="J485" s="8">
        <v>38</v>
      </c>
      <c r="K485" s="8">
        <v>827</v>
      </c>
      <c r="L485" s="54">
        <v>0.12083333333333331</v>
      </c>
      <c r="M485" s="39" t="s">
        <v>22</v>
      </c>
      <c r="N485" s="43" t="s">
        <v>675</v>
      </c>
      <c r="O485" s="43" t="s">
        <v>879</v>
      </c>
    </row>
    <row r="486" spans="1:15" ht="67.5">
      <c r="A486" s="5">
        <v>43329</v>
      </c>
      <c r="B486" s="18" t="s">
        <v>15</v>
      </c>
      <c r="C486" s="23" t="s">
        <v>16</v>
      </c>
      <c r="D486" s="7" t="s">
        <v>1668</v>
      </c>
      <c r="E486" s="103" t="s">
        <v>1669</v>
      </c>
      <c r="F486" s="85" t="str">
        <f>HYPERLINK("https://drive.google.com/file/d/1L2tR26bNL35lREloPMtT2RzC__9jWvWt/view?usp=drivesdk","https://drive.google.com/file/d/1L2tR26bNL35lREloPMtT2RzC__9jWvWt/view?usp=drivesdk")</f>
        <v>https://drive.google.com/file/d/1L2tR26bNL35lREloPMtT2RzC__9jWvWt/view?usp=drivesdk</v>
      </c>
      <c r="G486" s="7" t="s">
        <v>1670</v>
      </c>
      <c r="H486" s="95" t="s">
        <v>3294</v>
      </c>
      <c r="I486" s="10"/>
      <c r="J486" s="8">
        <v>91.3</v>
      </c>
      <c r="K486" s="8">
        <v>1450</v>
      </c>
      <c r="L486" s="11" t="s">
        <v>1671</v>
      </c>
      <c r="M486" s="39" t="s">
        <v>22</v>
      </c>
      <c r="N486" s="43" t="s">
        <v>675</v>
      </c>
      <c r="O486" s="43" t="s">
        <v>879</v>
      </c>
    </row>
    <row r="487" spans="1:15" ht="18.75" customHeight="1">
      <c r="A487" s="5">
        <v>43310</v>
      </c>
      <c r="B487" s="18" t="s">
        <v>15</v>
      </c>
      <c r="C487" s="23" t="s">
        <v>16</v>
      </c>
      <c r="D487" s="7" t="s">
        <v>1665</v>
      </c>
      <c r="E487" s="67" t="s">
        <v>1666</v>
      </c>
      <c r="F487" s="85" t="str">
        <f>HYPERLINK("https://drive.google.com/file/d/1Ej2L5Dh4ga_ISq9Pz4pPXOSEtA4e3J_S/view?usp=drivesdk","https://drive.google.com/file/d/1Ej2L5Dh4ga_ISq9Pz4pPXOSEtA4e3J_S/view?usp=drivesdk")</f>
        <v>https://drive.google.com/file/d/1Ej2L5Dh4ga_ISq9Pz4pPXOSEtA4e3J_S/view?usp=drivesdk</v>
      </c>
      <c r="G487" s="7" t="s">
        <v>1667</v>
      </c>
      <c r="H487" s="95" t="s">
        <v>3193</v>
      </c>
      <c r="I487" s="10"/>
      <c r="J487" s="8">
        <v>27</v>
      </c>
      <c r="K487" s="8">
        <v>169</v>
      </c>
      <c r="L487" s="54">
        <v>0.2270833333333333</v>
      </c>
      <c r="M487" s="39" t="s">
        <v>330</v>
      </c>
      <c r="N487" s="43" t="s">
        <v>331</v>
      </c>
      <c r="O487" s="43" t="s">
        <v>332</v>
      </c>
    </row>
    <row r="488" spans="1:15" ht="40.5" customHeight="1">
      <c r="A488" s="5">
        <v>43303</v>
      </c>
      <c r="B488" s="18" t="s">
        <v>15</v>
      </c>
      <c r="C488" s="23" t="s">
        <v>16</v>
      </c>
      <c r="D488" s="7" t="s">
        <v>276</v>
      </c>
      <c r="E488" s="67" t="s">
        <v>1664</v>
      </c>
      <c r="F488" s="85" t="str">
        <f>HYPERLINK("https://drive.google.com/file/d/1Yg_dQigRLvx3tII4kgNBEJuLbBz4rB-e/view?usp=drivesdk","https://drive.google.com/file/d/1Yg_dQigRLvx3tII4kgNBEJuLbBz4rB-e/view?usp=drivesdk")</f>
        <v>https://drive.google.com/file/d/1Yg_dQigRLvx3tII4kgNBEJuLbBz4rB-e/view?usp=drivesdk</v>
      </c>
      <c r="G488" s="7" t="s">
        <v>383</v>
      </c>
      <c r="H488" s="95" t="s">
        <v>3202</v>
      </c>
      <c r="I488" s="23" t="s">
        <v>276</v>
      </c>
      <c r="J488" s="8">
        <v>45</v>
      </c>
      <c r="K488" s="8">
        <v>1224</v>
      </c>
      <c r="L488" s="11">
        <v>0.15972222222222221</v>
      </c>
      <c r="M488" s="39" t="s">
        <v>22</v>
      </c>
      <c r="N488" s="43" t="s">
        <v>23</v>
      </c>
      <c r="O488" s="43" t="s">
        <v>136</v>
      </c>
    </row>
    <row r="489" spans="1:15" ht="27" customHeight="1">
      <c r="A489" s="5">
        <v>43302</v>
      </c>
      <c r="B489" s="18" t="s">
        <v>15</v>
      </c>
      <c r="C489" s="23" t="s">
        <v>16</v>
      </c>
      <c r="D489" s="7" t="s">
        <v>1662</v>
      </c>
      <c r="E489" s="67" t="s">
        <v>1663</v>
      </c>
      <c r="F489" s="85" t="str">
        <f>HYPERLINK("https://drive.google.com/file/d/1HZzQKVtnEFFW0Hl87N9C5ANc56pE-pl3/view?usp=drivesdk","https://drive.google.com/file/d/1HZzQKVtnEFFW0Hl87N9C5ANc56pE-pl3/view?usp=drivesdk")</f>
        <v>https://drive.google.com/file/d/1HZzQKVtnEFFW0Hl87N9C5ANc56pE-pl3/view?usp=drivesdk</v>
      </c>
      <c r="G489" s="7" t="s">
        <v>1239</v>
      </c>
      <c r="H489" s="95" t="s">
        <v>3202</v>
      </c>
      <c r="I489" s="40"/>
      <c r="J489" s="41">
        <v>20</v>
      </c>
      <c r="K489" s="41">
        <v>344</v>
      </c>
      <c r="L489" s="54">
        <v>0.11874999999999999</v>
      </c>
      <c r="M489" s="39" t="s">
        <v>22</v>
      </c>
      <c r="N489" s="48" t="s">
        <v>23</v>
      </c>
      <c r="O489" s="43" t="s">
        <v>136</v>
      </c>
    </row>
    <row r="490" spans="1:15" ht="14.25" customHeight="1">
      <c r="A490" s="5">
        <v>43296</v>
      </c>
      <c r="B490" s="18" t="s">
        <v>15</v>
      </c>
      <c r="C490" s="23" t="s">
        <v>16</v>
      </c>
      <c r="D490" s="7" t="s">
        <v>1660</v>
      </c>
      <c r="E490" s="105"/>
      <c r="G490" s="7" t="s">
        <v>1661</v>
      </c>
      <c r="H490" s="95" t="s">
        <v>3202</v>
      </c>
      <c r="I490" s="10"/>
      <c r="J490" s="8"/>
      <c r="K490" s="8"/>
      <c r="L490" s="11"/>
      <c r="M490" s="39" t="s">
        <v>22</v>
      </c>
      <c r="N490" s="43" t="s">
        <v>23</v>
      </c>
      <c r="O490" s="43" t="s">
        <v>136</v>
      </c>
    </row>
    <row r="491" spans="1:15" ht="14.25" customHeight="1">
      <c r="A491" s="5">
        <v>43295</v>
      </c>
      <c r="B491" s="18" t="s">
        <v>15</v>
      </c>
      <c r="C491" s="23" t="s">
        <v>223</v>
      </c>
      <c r="D491" s="7" t="s">
        <v>1658</v>
      </c>
      <c r="E491" s="67" t="s">
        <v>1659</v>
      </c>
      <c r="F491" s="85" t="str">
        <f>HYPERLINK("https://drive.google.com/file/d/1JmDfZzCNBHgs0Ixk-RMSBlog81LiRS1K/view?usp=drivesdk","https://drive.google.com/file/d/1JmDfZzCNBHgs0Ixk-RMSBlog81LiRS1K/view?usp=drivesdk")</f>
        <v>https://drive.google.com/file/d/1JmDfZzCNBHgs0Ixk-RMSBlog81LiRS1K/view?usp=drivesdk</v>
      </c>
      <c r="G491" s="7" t="s">
        <v>1658</v>
      </c>
      <c r="H491" s="95" t="s">
        <v>3202</v>
      </c>
      <c r="I491" s="10"/>
      <c r="J491" s="8">
        <v>41</v>
      </c>
      <c r="K491" s="8">
        <v>1170</v>
      </c>
      <c r="L491" s="54">
        <v>0.2298611111111111</v>
      </c>
      <c r="M491" s="39" t="s">
        <v>720</v>
      </c>
      <c r="N491" s="43" t="s">
        <v>23</v>
      </c>
      <c r="O491" s="43" t="s">
        <v>802</v>
      </c>
    </row>
    <row r="492" spans="1:15">
      <c r="A492" s="5">
        <v>43289</v>
      </c>
      <c r="B492" s="18" t="s">
        <v>15</v>
      </c>
      <c r="C492" s="23" t="s">
        <v>16</v>
      </c>
      <c r="D492" s="7" t="s">
        <v>1653</v>
      </c>
      <c r="E492" s="67" t="s">
        <v>1654</v>
      </c>
      <c r="F492" s="85" t="str">
        <f>HYPERLINK("https://drive.google.com/file/d/1Zn4TIqUuCWXC9wnPSa4I8S5wOzrax1sC/view?usp=drivesdk","https://drive.google.com/file/d/1Zn4TIqUuCWXC9wnPSa4I8S5wOzrax1sC/view?usp=drivesdk")</f>
        <v>https://drive.google.com/file/d/1Zn4TIqUuCWXC9wnPSa4I8S5wOzrax1sC/view?usp=drivesdk</v>
      </c>
      <c r="G492" s="7" t="s">
        <v>1655</v>
      </c>
      <c r="H492" s="95" t="s">
        <v>3221</v>
      </c>
      <c r="I492" s="10"/>
      <c r="J492" s="8">
        <v>23</v>
      </c>
      <c r="K492" s="8">
        <v>74</v>
      </c>
      <c r="L492" s="54">
        <v>7.6388888888888895E-2</v>
      </c>
      <c r="M492" s="39" t="s">
        <v>720</v>
      </c>
      <c r="N492" s="43" t="s">
        <v>23</v>
      </c>
      <c r="O492" s="43" t="s">
        <v>802</v>
      </c>
    </row>
    <row r="493" spans="1:15" ht="27" customHeight="1">
      <c r="A493" s="5">
        <v>43289</v>
      </c>
      <c r="B493" s="18" t="s">
        <v>15</v>
      </c>
      <c r="C493" s="23" t="s">
        <v>16</v>
      </c>
      <c r="D493" s="7" t="s">
        <v>1653</v>
      </c>
      <c r="E493" s="67" t="s">
        <v>1656</v>
      </c>
      <c r="G493" s="21" t="s">
        <v>1657</v>
      </c>
      <c r="H493" s="95" t="s">
        <v>3224</v>
      </c>
      <c r="I493" s="40"/>
      <c r="J493" s="41">
        <v>73</v>
      </c>
      <c r="K493" s="41">
        <v>132</v>
      </c>
      <c r="L493" s="46">
        <v>0.22847222222222219</v>
      </c>
      <c r="M493" s="39" t="s">
        <v>720</v>
      </c>
      <c r="N493" s="43" t="s">
        <v>23</v>
      </c>
      <c r="O493" s="43" t="s">
        <v>802</v>
      </c>
    </row>
    <row r="494" spans="1:15">
      <c r="A494" s="5">
        <v>43282</v>
      </c>
      <c r="B494" s="18" t="s">
        <v>15</v>
      </c>
      <c r="C494" s="23" t="s">
        <v>16</v>
      </c>
      <c r="D494" s="7" t="s">
        <v>1509</v>
      </c>
      <c r="E494" s="67" t="s">
        <v>1652</v>
      </c>
      <c r="F494" s="85" t="str">
        <f>HYPERLINK("https://drive.google.com/file/d/1L_tfNa8BAv7Qws6LYbqlfwpMucFqQDc7/view?usp=drivesdk","https://drive.google.com/file/d/1L_tfNa8BAv7Qws6LYbqlfwpMucFqQDc7/view?usp=drivesdk")</f>
        <v>https://drive.google.com/file/d/1L_tfNa8BAv7Qws6LYbqlfwpMucFqQDc7/view?usp=drivesdk</v>
      </c>
      <c r="G494" s="7" t="s">
        <v>1509</v>
      </c>
      <c r="H494" s="95" t="s">
        <v>3209</v>
      </c>
      <c r="I494" s="10"/>
      <c r="J494" s="8">
        <v>94</v>
      </c>
      <c r="K494" s="8">
        <v>1006</v>
      </c>
      <c r="L494" s="54">
        <v>0.24861111111111109</v>
      </c>
      <c r="M494" s="39" t="s">
        <v>22</v>
      </c>
      <c r="N494" s="43" t="s">
        <v>675</v>
      </c>
      <c r="O494" s="43" t="s">
        <v>1584</v>
      </c>
    </row>
    <row r="495" spans="1:15" ht="27">
      <c r="A495" s="5">
        <v>43275</v>
      </c>
      <c r="B495" s="62" t="s">
        <v>246</v>
      </c>
      <c r="C495" s="23" t="s">
        <v>196</v>
      </c>
      <c r="D495" s="7" t="s">
        <v>1649</v>
      </c>
      <c r="E495" s="67" t="s">
        <v>1650</v>
      </c>
      <c r="F495" s="85" t="str">
        <f>HYPERLINK("https://drive.google.com/file/d/1t4yseKQ2Kl0Z7jQZMlhNuAUjop6Sje-S/view?usp=drivesdk","https://drive.google.com/file/d/1t4yseKQ2Kl0Z7jQZMlhNuAUjop6Sje-S/view?usp=drivesdk")</f>
        <v>https://drive.google.com/file/d/1t4yseKQ2Kl0Z7jQZMlhNuAUjop6Sje-S/view?usp=drivesdk</v>
      </c>
      <c r="G495" s="7" t="s">
        <v>1651</v>
      </c>
      <c r="H495" s="95" t="s">
        <v>3209</v>
      </c>
      <c r="I495" s="10"/>
      <c r="J495" s="8">
        <v>118</v>
      </c>
      <c r="K495" s="8">
        <v>1544</v>
      </c>
      <c r="L495" s="11">
        <v>0.45277777777777778</v>
      </c>
      <c r="M495" s="39" t="s">
        <v>720</v>
      </c>
      <c r="N495" s="43" t="s">
        <v>23</v>
      </c>
      <c r="O495" s="43" t="s">
        <v>802</v>
      </c>
    </row>
    <row r="496" spans="1:15" ht="27">
      <c r="A496" s="5">
        <v>43274</v>
      </c>
      <c r="B496" s="18" t="s">
        <v>15</v>
      </c>
      <c r="C496" s="23" t="s">
        <v>16</v>
      </c>
      <c r="D496" s="7" t="s">
        <v>1646</v>
      </c>
      <c r="E496" s="67" t="s">
        <v>1647</v>
      </c>
      <c r="F496" s="85" t="str">
        <f>HYPERLINK("https://drive.google.com/file/d/1tKtzxpR9JUpUVo-qh05GA2NFRM9c3XkH/view?usp=drivesdk","https://drive.google.com/file/d/1tKtzxpR9JUpUVo-qh05GA2NFRM9c3XkH/view?usp=drivesdk")</f>
        <v>https://drive.google.com/file/d/1tKtzxpR9JUpUVo-qh05GA2NFRM9c3XkH/view?usp=drivesdk</v>
      </c>
      <c r="G496" s="7" t="s">
        <v>1648</v>
      </c>
      <c r="H496" s="95" t="s">
        <v>3293</v>
      </c>
      <c r="I496" s="10"/>
      <c r="J496" s="8">
        <v>38</v>
      </c>
      <c r="K496" s="8">
        <v>760</v>
      </c>
      <c r="L496" s="11">
        <v>0.2159722222222222</v>
      </c>
      <c r="M496" s="39" t="s">
        <v>22</v>
      </c>
      <c r="N496" s="43" t="s">
        <v>675</v>
      </c>
      <c r="O496" s="43" t="s">
        <v>879</v>
      </c>
    </row>
    <row r="497" spans="1:15" ht="40.5">
      <c r="A497" s="5">
        <v>43254</v>
      </c>
      <c r="B497" s="18" t="s">
        <v>15</v>
      </c>
      <c r="C497" s="23" t="s">
        <v>223</v>
      </c>
      <c r="D497" s="7" t="s">
        <v>1643</v>
      </c>
      <c r="E497" s="67" t="s">
        <v>1644</v>
      </c>
      <c r="F497" s="85" t="str">
        <f>HYPERLINK("https://drive.google.com/file/d/1nzv9F0ocapYZ4kfxypKhqVoz7y3tQbUQ/view?usp=drivesdk","https://drive.google.com/file/d/1nzv9F0ocapYZ4kfxypKhqVoz7y3tQbUQ/view?usp=drivesdk")</f>
        <v>https://drive.google.com/file/d/1nzv9F0ocapYZ4kfxypKhqVoz7y3tQbUQ/view?usp=drivesdk</v>
      </c>
      <c r="G497" s="7" t="s">
        <v>1645</v>
      </c>
      <c r="H497" s="73" t="s">
        <v>3203</v>
      </c>
      <c r="I497" s="10"/>
      <c r="J497" s="8">
        <v>107</v>
      </c>
      <c r="K497" s="8">
        <v>1877</v>
      </c>
      <c r="L497" s="54">
        <v>0.42986111111111108</v>
      </c>
      <c r="M497" s="39" t="s">
        <v>22</v>
      </c>
      <c r="N497" s="43" t="s">
        <v>675</v>
      </c>
      <c r="O497" s="43" t="s">
        <v>879</v>
      </c>
    </row>
    <row r="498" spans="1:15" ht="40.5">
      <c r="A498" s="5">
        <v>43247</v>
      </c>
      <c r="B498" s="18" t="s">
        <v>15</v>
      </c>
      <c r="C498" s="23" t="s">
        <v>16</v>
      </c>
      <c r="D498" s="7" t="s">
        <v>1640</v>
      </c>
      <c r="E498" s="67" t="s">
        <v>1641</v>
      </c>
      <c r="F498" s="85" t="str">
        <f>HYPERLINK("https://drive.google.com/file/d/1a3z9aJKgqfVMRK-dPxkJ6DgAqnScOqgF/view?usp=drivesdk","https://drive.google.com/file/d/1a3z9aJKgqfVMRK-dPxkJ6DgAqnScOqgF/view?usp=drivesdk")</f>
        <v>https://drive.google.com/file/d/1a3z9aJKgqfVMRK-dPxkJ6DgAqnScOqgF/view?usp=drivesdk</v>
      </c>
      <c r="G498" s="7" t="s">
        <v>1642</v>
      </c>
      <c r="H498" s="73" t="s">
        <v>311</v>
      </c>
      <c r="I498" s="10"/>
      <c r="J498" s="8">
        <v>65</v>
      </c>
      <c r="K498" s="8">
        <v>1495</v>
      </c>
      <c r="L498" s="54">
        <v>0.21875</v>
      </c>
      <c r="M498" s="39" t="s">
        <v>22</v>
      </c>
      <c r="N498" s="43" t="s">
        <v>675</v>
      </c>
      <c r="O498" s="43" t="s">
        <v>1584</v>
      </c>
    </row>
    <row r="499" spans="1:15" ht="40.5" customHeight="1">
      <c r="A499" s="5">
        <v>43232</v>
      </c>
      <c r="B499" s="18" t="s">
        <v>15</v>
      </c>
      <c r="C499" s="23" t="s">
        <v>16</v>
      </c>
      <c r="D499" s="7" t="s">
        <v>1637</v>
      </c>
      <c r="E499" s="67" t="s">
        <v>1638</v>
      </c>
      <c r="F499" s="85" t="str">
        <f>HYPERLINK("https://drive.google.com/file/d/1vgBmarZmOlQC-wgZH1iXmDXLXC4pgtT6/view?usp=drivesdk","https://drive.google.com/file/d/1vgBmarZmOlQC-wgZH1iXmDXLXC4pgtT6/view?usp=drivesdk")</f>
        <v>https://drive.google.com/file/d/1vgBmarZmOlQC-wgZH1iXmDXLXC4pgtT6/view?usp=drivesdk</v>
      </c>
      <c r="G499" s="7" t="s">
        <v>1639</v>
      </c>
      <c r="H499" s="95" t="s">
        <v>3203</v>
      </c>
      <c r="I499" s="10"/>
      <c r="J499" s="8">
        <v>65</v>
      </c>
      <c r="K499" s="8">
        <v>583</v>
      </c>
      <c r="L499" s="54">
        <v>0.16319444444444439</v>
      </c>
      <c r="M499" s="39" t="s">
        <v>22</v>
      </c>
      <c r="N499" s="43" t="s">
        <v>675</v>
      </c>
      <c r="O499" s="43" t="s">
        <v>879</v>
      </c>
    </row>
    <row r="500" spans="1:15" ht="27" customHeight="1">
      <c r="A500" s="5">
        <v>43223</v>
      </c>
      <c r="B500" s="18" t="s">
        <v>15</v>
      </c>
      <c r="C500" s="23" t="s">
        <v>16</v>
      </c>
      <c r="D500" s="7" t="s">
        <v>1617</v>
      </c>
      <c r="E500" s="67" t="s">
        <v>1635</v>
      </c>
      <c r="F500" s="85" t="str">
        <f>HYPERLINK("https://drive.google.com/file/d/1NOGoxfTF6zEpBS9qYKcm3naYvQ_bPyV8/view?usp=drivesdk","https://drive.google.com/file/d/1NOGoxfTF6zEpBS9qYKcm3naYvQ_bPyV8/view?usp=drivesdk")</f>
        <v>https://drive.google.com/file/d/1NOGoxfTF6zEpBS9qYKcm3naYvQ_bPyV8/view?usp=drivesdk</v>
      </c>
      <c r="G500" s="7" t="s">
        <v>1636</v>
      </c>
      <c r="H500" s="95" t="s">
        <v>3201</v>
      </c>
      <c r="I500" s="10"/>
      <c r="J500" s="8">
        <v>38</v>
      </c>
      <c r="K500" s="8">
        <v>314</v>
      </c>
      <c r="L500" s="54">
        <v>0.37569444444444439</v>
      </c>
      <c r="M500" s="39" t="s">
        <v>22</v>
      </c>
      <c r="N500" s="43" t="s">
        <v>675</v>
      </c>
      <c r="O500" s="43" t="s">
        <v>1584</v>
      </c>
    </row>
    <row r="501" spans="1:15" ht="54">
      <c r="A501" s="5">
        <v>43222</v>
      </c>
      <c r="B501" s="56" t="s">
        <v>1632</v>
      </c>
      <c r="C501" s="23" t="s">
        <v>1633</v>
      </c>
      <c r="D501" s="7" t="s">
        <v>1617</v>
      </c>
      <c r="E501" s="105"/>
      <c r="G501" s="7" t="s">
        <v>1634</v>
      </c>
      <c r="H501" s="95" t="s">
        <v>3201</v>
      </c>
      <c r="I501" s="10"/>
      <c r="J501" s="8"/>
      <c r="K501" s="8"/>
      <c r="L501" s="11"/>
      <c r="M501" s="39" t="s">
        <v>265</v>
      </c>
      <c r="N501" s="39" t="s">
        <v>265</v>
      </c>
      <c r="O501" s="39" t="s">
        <v>265</v>
      </c>
    </row>
    <row r="502" spans="1:15" ht="27" customHeight="1">
      <c r="A502" s="5">
        <v>43221</v>
      </c>
      <c r="B502" s="18" t="s">
        <v>15</v>
      </c>
      <c r="C502" s="23" t="s">
        <v>223</v>
      </c>
      <c r="D502" s="7" t="s">
        <v>1628</v>
      </c>
      <c r="E502" s="103" t="s">
        <v>1629</v>
      </c>
      <c r="F502" s="85" t="str">
        <f>HYPERLINK("https://drive.google.com/file/d/14Nsmn-eBvTZk69RbWcs-bpZdm44mJneS/view?usp=drivesdk","https://drive.google.com/file/d/14Nsmn-eBvTZk69RbWcs-bpZdm44mJneS/view?usp=drivesdk")</f>
        <v>https://drive.google.com/file/d/14Nsmn-eBvTZk69RbWcs-bpZdm44mJneS/view?usp=drivesdk</v>
      </c>
      <c r="G502" s="7" t="s">
        <v>1630</v>
      </c>
      <c r="H502" s="95" t="s">
        <v>3201</v>
      </c>
      <c r="I502" s="23"/>
      <c r="J502" s="8">
        <v>44.7</v>
      </c>
      <c r="K502" s="8">
        <v>1700</v>
      </c>
      <c r="L502" s="11" t="s">
        <v>1631</v>
      </c>
      <c r="M502" s="39" t="s">
        <v>22</v>
      </c>
      <c r="N502" s="43" t="s">
        <v>675</v>
      </c>
      <c r="O502" s="43" t="s">
        <v>879</v>
      </c>
    </row>
    <row r="503" spans="1:15" ht="67.5">
      <c r="A503" s="5">
        <v>43220</v>
      </c>
      <c r="B503" s="18" t="s">
        <v>15</v>
      </c>
      <c r="C503" s="23" t="s">
        <v>16</v>
      </c>
      <c r="D503" s="7" t="s">
        <v>1624</v>
      </c>
      <c r="E503" s="103" t="s">
        <v>1625</v>
      </c>
      <c r="F503" s="85" t="str">
        <f>HYPERLINK("https://drive.google.com/file/d/1OthGAvjVEL1Kal6eFe6od5qTGxn7jOsa/view?usp=drivesdk","https://drive.google.com/file/d/1OthGAvjVEL1Kal6eFe6od5qTGxn7jOsa/view?usp=drivesdk")</f>
        <v>https://drive.google.com/file/d/1OthGAvjVEL1Kal6eFe6od5qTGxn7jOsa/view?usp=drivesdk</v>
      </c>
      <c r="G503" s="7" t="s">
        <v>1626</v>
      </c>
      <c r="H503" s="95" t="s">
        <v>3201</v>
      </c>
      <c r="I503" s="10"/>
      <c r="J503" s="8">
        <v>137.6</v>
      </c>
      <c r="K503" s="8">
        <v>2155</v>
      </c>
      <c r="L503" s="11" t="s">
        <v>1627</v>
      </c>
      <c r="M503" s="49" t="s">
        <v>22</v>
      </c>
      <c r="N503" s="43" t="s">
        <v>675</v>
      </c>
      <c r="O503" s="43" t="s">
        <v>1584</v>
      </c>
    </row>
    <row r="504" spans="1:15" ht="27" customHeight="1">
      <c r="A504" s="5">
        <v>43219</v>
      </c>
      <c r="B504" s="18" t="s">
        <v>15</v>
      </c>
      <c r="C504" s="23" t="s">
        <v>16</v>
      </c>
      <c r="D504" s="7" t="s">
        <v>1617</v>
      </c>
      <c r="E504" s="103" t="s">
        <v>1621</v>
      </c>
      <c r="F504" s="85" t="str">
        <f>HYPERLINK("https://drive.google.com/file/d/1IfOap_sS9h7gskZ1XoAty6xzQJCii5hR/view?usp=drivesdk","https://drive.google.com/file/d/1IfOap_sS9h7gskZ1XoAty6xzQJCii5hR/view?usp=drivesdk")</f>
        <v>https://drive.google.com/file/d/1IfOap_sS9h7gskZ1XoAty6xzQJCii5hR/view?usp=drivesdk</v>
      </c>
      <c r="G504" s="7" t="s">
        <v>1622</v>
      </c>
      <c r="H504" s="95" t="s">
        <v>3201</v>
      </c>
      <c r="I504" s="10"/>
      <c r="J504" s="8">
        <v>42.3</v>
      </c>
      <c r="K504" s="8">
        <v>926</v>
      </c>
      <c r="L504" s="11" t="s">
        <v>1623</v>
      </c>
      <c r="M504" s="49" t="s">
        <v>22</v>
      </c>
      <c r="N504" s="43" t="s">
        <v>675</v>
      </c>
      <c r="O504" s="43" t="s">
        <v>1584</v>
      </c>
    </row>
    <row r="505" spans="1:15" ht="27" customHeight="1">
      <c r="A505" s="5">
        <v>43218</v>
      </c>
      <c r="B505" s="18" t="s">
        <v>15</v>
      </c>
      <c r="C505" s="23" t="s">
        <v>16</v>
      </c>
      <c r="D505" s="7" t="s">
        <v>1617</v>
      </c>
      <c r="E505" s="103" t="s">
        <v>1618</v>
      </c>
      <c r="F505" s="85" t="str">
        <f>HYPERLINK("https://drive.google.com/file/d/10Kc3A7VPuRdncG2ulwL7MfU-VXDjwx6W/view?usp=drivesdk","https://drive.google.com/file/d/10Kc3A7VPuRdncG2ulwL7MfU-VXDjwx6W/view?usp=drivesdk")</f>
        <v>https://drive.google.com/file/d/10Kc3A7VPuRdncG2ulwL7MfU-VXDjwx6W/view?usp=drivesdk</v>
      </c>
      <c r="G505" s="7" t="s">
        <v>1619</v>
      </c>
      <c r="H505" s="95" t="s">
        <v>3201</v>
      </c>
      <c r="I505" s="10"/>
      <c r="J505" s="8">
        <v>35.4</v>
      </c>
      <c r="K505" s="8">
        <v>341</v>
      </c>
      <c r="L505" s="11" t="s">
        <v>1620</v>
      </c>
      <c r="M505" s="49" t="s">
        <v>22</v>
      </c>
      <c r="N505" s="43" t="s">
        <v>675</v>
      </c>
      <c r="O505" s="43" t="s">
        <v>1584</v>
      </c>
    </row>
    <row r="506" spans="1:15" ht="27">
      <c r="A506" s="5">
        <v>43211</v>
      </c>
      <c r="B506" s="18" t="s">
        <v>15</v>
      </c>
      <c r="C506" s="23" t="s">
        <v>16</v>
      </c>
      <c r="D506" s="7" t="s">
        <v>1614</v>
      </c>
      <c r="E506" s="67" t="s">
        <v>1615</v>
      </c>
      <c r="F506" s="85" t="str">
        <f>HYPERLINK("https://drive.google.com/file/d/1DGcKoEgeUgElcVKtcW9QFXUO4rNyYmTS/view?usp=drivesdk","https://drive.google.com/file/d/1DGcKoEgeUgElcVKtcW9QFXUO4rNyYmTS/view?usp=drivesdk")</f>
        <v>https://drive.google.com/file/d/1DGcKoEgeUgElcVKtcW9QFXUO4rNyYmTS/view?usp=drivesdk</v>
      </c>
      <c r="G506" s="7" t="s">
        <v>1616</v>
      </c>
      <c r="H506" s="95" t="s">
        <v>3224</v>
      </c>
      <c r="I506" s="10"/>
      <c r="J506" s="8">
        <v>38</v>
      </c>
      <c r="K506" s="8">
        <v>1056</v>
      </c>
      <c r="L506" s="54">
        <v>0.18402777777777779</v>
      </c>
      <c r="M506" s="39" t="s">
        <v>22</v>
      </c>
      <c r="N506" s="43" t="s">
        <v>675</v>
      </c>
      <c r="O506" s="43" t="s">
        <v>879</v>
      </c>
    </row>
    <row r="507" spans="1:15" ht="40.5">
      <c r="A507" s="5">
        <v>43197</v>
      </c>
      <c r="B507" s="18" t="s">
        <v>15</v>
      </c>
      <c r="C507" s="23" t="s">
        <v>16</v>
      </c>
      <c r="D507" s="7" t="s">
        <v>1611</v>
      </c>
      <c r="E507" s="67" t="s">
        <v>1612</v>
      </c>
      <c r="F507" s="85" t="str">
        <f>HYPERLINK("https://drive.google.com/file/d/1jlIkuhxdYEqLkCTUqoG_Hh1buUntQcZS/view?usp=drivesdk","https://drive.google.com/file/d/1jlIkuhxdYEqLkCTUqoG_Hh1buUntQcZS/view?usp=drivesdk")</f>
        <v>https://drive.google.com/file/d/1jlIkuhxdYEqLkCTUqoG_Hh1buUntQcZS/view?usp=drivesdk</v>
      </c>
      <c r="G507" s="7" t="s">
        <v>1613</v>
      </c>
      <c r="H507" s="95" t="s">
        <v>3209</v>
      </c>
      <c r="I507" s="24" t="s">
        <v>40</v>
      </c>
      <c r="J507" s="8">
        <v>105</v>
      </c>
      <c r="K507" s="8">
        <v>1426</v>
      </c>
      <c r="L507" s="11">
        <v>0.26874999999999999</v>
      </c>
      <c r="M507" s="39" t="s">
        <v>22</v>
      </c>
      <c r="N507" s="43" t="s">
        <v>675</v>
      </c>
      <c r="O507" s="43" t="s">
        <v>1584</v>
      </c>
    </row>
    <row r="508" spans="1:15" ht="54">
      <c r="A508" s="5">
        <v>43191</v>
      </c>
      <c r="B508" s="18" t="s">
        <v>15</v>
      </c>
      <c r="C508" s="23" t="s">
        <v>16</v>
      </c>
      <c r="D508" s="7" t="s">
        <v>1607</v>
      </c>
      <c r="E508" s="67" t="s">
        <v>1608</v>
      </c>
      <c r="F508" s="85" t="str">
        <f>HYPERLINK("https://drive.google.com/file/d/1A0PF7xhHYBYsMKqOrXby1maixomILL5L/view?usp=drivesdk","https://drive.google.com/file/d/1A0PF7xhHYBYsMKqOrXby1maixomILL5L/view?usp=drivesdk")</f>
        <v>https://drive.google.com/file/d/1A0PF7xhHYBYsMKqOrXby1maixomILL5L/view?usp=drivesdk</v>
      </c>
      <c r="G508" s="7" t="s">
        <v>1609</v>
      </c>
      <c r="H508" s="95" t="s">
        <v>3208</v>
      </c>
      <c r="I508" s="13" t="s">
        <v>1610</v>
      </c>
      <c r="J508" s="8">
        <v>50</v>
      </c>
      <c r="K508" s="8">
        <v>229</v>
      </c>
      <c r="L508" s="11">
        <v>0.1902777777777778</v>
      </c>
      <c r="M508" s="39" t="s">
        <v>102</v>
      </c>
      <c r="N508" s="43" t="s">
        <v>194</v>
      </c>
      <c r="O508" s="43" t="s">
        <v>195</v>
      </c>
    </row>
    <row r="509" spans="1:15" ht="27">
      <c r="A509" s="5">
        <v>43190</v>
      </c>
      <c r="B509" s="18" t="s">
        <v>15</v>
      </c>
      <c r="C509" s="23" t="s">
        <v>16</v>
      </c>
      <c r="D509" s="7" t="s">
        <v>1604</v>
      </c>
      <c r="E509" s="67" t="s">
        <v>1605</v>
      </c>
      <c r="F509" s="85" t="str">
        <f>HYPERLINK("https://drive.google.com/file/d/1giy1YaNqPuqJxqhGA1GnhAao0LjOQ0Mz/view?usp=drivesdk","https://drive.google.com/file/d/1giy1YaNqPuqJxqhGA1GnhAao0LjOQ0Mz/view?usp=drivesdk")</f>
        <v>https://drive.google.com/file/d/1giy1YaNqPuqJxqhGA1GnhAao0LjOQ0Mz/view?usp=drivesdk</v>
      </c>
      <c r="G509" s="7" t="s">
        <v>1606</v>
      </c>
      <c r="H509" s="95" t="s">
        <v>3215</v>
      </c>
      <c r="I509" s="24" t="s">
        <v>40</v>
      </c>
      <c r="J509" s="8">
        <v>24</v>
      </c>
      <c r="K509" s="8">
        <v>179</v>
      </c>
      <c r="L509" s="54">
        <v>0.15</v>
      </c>
      <c r="M509" s="39" t="s">
        <v>102</v>
      </c>
      <c r="N509" s="43" t="s">
        <v>194</v>
      </c>
      <c r="O509" s="43" t="s">
        <v>195</v>
      </c>
    </row>
    <row r="510" spans="1:15">
      <c r="A510" s="5">
        <v>43184</v>
      </c>
      <c r="B510" s="18" t="s">
        <v>15</v>
      </c>
      <c r="C510" s="23" t="s">
        <v>16</v>
      </c>
      <c r="D510" s="21" t="s">
        <v>32</v>
      </c>
      <c r="E510" s="67" t="s">
        <v>1602</v>
      </c>
      <c r="F510" s="85" t="str">
        <f>HYPERLINK("https://drive.google.com/file/d/1qSlY3LxOD_x-KCy_wk8q53FeN5NgLgvS/view?usp=drivesdk","https://drive.google.com/file/d/1qSlY3LxOD_x-KCy_wk8q53FeN5NgLgvS/view?usp=drivesdk")</f>
        <v>https://drive.google.com/file/d/1qSlY3LxOD_x-KCy_wk8q53FeN5NgLgvS/view?usp=drivesdk</v>
      </c>
      <c r="G510" s="7" t="s">
        <v>1603</v>
      </c>
      <c r="H510" s="73" t="s">
        <v>222</v>
      </c>
      <c r="I510" s="40"/>
      <c r="J510" s="41">
        <v>81</v>
      </c>
      <c r="K510" s="41">
        <v>507</v>
      </c>
      <c r="L510" s="54">
        <v>0.27430555555555558</v>
      </c>
      <c r="M510" s="39" t="s">
        <v>102</v>
      </c>
      <c r="N510" s="43" t="s">
        <v>194</v>
      </c>
      <c r="O510" s="43" t="s">
        <v>195</v>
      </c>
    </row>
    <row r="511" spans="1:15">
      <c r="A511" s="5">
        <v>43177</v>
      </c>
      <c r="B511" s="18" t="s">
        <v>15</v>
      </c>
      <c r="C511" s="23" t="s">
        <v>16</v>
      </c>
      <c r="D511" s="7" t="s">
        <v>1599</v>
      </c>
      <c r="E511" s="67" t="s">
        <v>1600</v>
      </c>
      <c r="F511" s="85" t="str">
        <f>HYPERLINK("https://drive.google.com/file/d/1ZIVTj96QM99iS5JNmyBFNz1fgm6AKeVx/view?usp=drivesdk","https://drive.google.com/file/d/1ZIVTj96QM99iS5JNmyBFNz1fgm6AKeVx/view?usp=drivesdk")</f>
        <v>https://drive.google.com/file/d/1ZIVTj96QM99iS5JNmyBFNz1fgm6AKeVx/view?usp=drivesdk</v>
      </c>
      <c r="G511" s="7" t="s">
        <v>1601</v>
      </c>
      <c r="H511" s="95" t="s">
        <v>3208</v>
      </c>
      <c r="I511" s="10"/>
      <c r="J511" s="8">
        <v>61</v>
      </c>
      <c r="K511" s="8">
        <v>187</v>
      </c>
      <c r="L511" s="54">
        <v>0.21736111111111109</v>
      </c>
      <c r="M511" s="39" t="s">
        <v>22</v>
      </c>
      <c r="N511" s="43" t="s">
        <v>615</v>
      </c>
      <c r="O511" s="48" t="s">
        <v>1277</v>
      </c>
    </row>
    <row r="512" spans="1:15" ht="27">
      <c r="A512" s="5">
        <v>43176</v>
      </c>
      <c r="B512" s="18" t="s">
        <v>15</v>
      </c>
      <c r="C512" s="23" t="s">
        <v>16</v>
      </c>
      <c r="D512" s="7" t="s">
        <v>1596</v>
      </c>
      <c r="E512" s="67" t="s">
        <v>1597</v>
      </c>
      <c r="F512" s="85" t="str">
        <f>HYPERLINK("https://drive.google.com/file/d/19G-iaIdPn1UUWBFuprreaEuKitN7dfVw/view?usp=drivesdk","https://drive.google.com/file/d/19G-iaIdPn1UUWBFuprreaEuKitN7dfVw/view?usp=drivesdk")</f>
        <v>https://drive.google.com/file/d/19G-iaIdPn1UUWBFuprreaEuKitN7dfVw/view?usp=drivesdk</v>
      </c>
      <c r="G512" s="7" t="s">
        <v>1598</v>
      </c>
      <c r="H512" s="95" t="s">
        <v>3214</v>
      </c>
      <c r="I512" s="10"/>
      <c r="J512" s="8">
        <v>160</v>
      </c>
      <c r="K512" s="8">
        <v>346</v>
      </c>
      <c r="L512" s="54">
        <v>0.37361111111111112</v>
      </c>
      <c r="M512" s="39" t="s">
        <v>22</v>
      </c>
      <c r="N512" s="43" t="s">
        <v>675</v>
      </c>
      <c r="O512" s="43" t="s">
        <v>879</v>
      </c>
    </row>
    <row r="513" spans="1:15" ht="27" customHeight="1">
      <c r="A513" s="5">
        <v>43169</v>
      </c>
      <c r="B513" s="18" t="s">
        <v>15</v>
      </c>
      <c r="C513" s="23" t="s">
        <v>16</v>
      </c>
      <c r="D513" s="21" t="s">
        <v>1594</v>
      </c>
      <c r="E513" s="67" t="s">
        <v>1595</v>
      </c>
      <c r="F513" s="85" t="str">
        <f>HYPERLINK("https://drive.google.com/file/d/1GD4bjbieqRPeVJ7sxfH2IaINiJkPS-Am/view?usp=drivesdk","https://drive.google.com/file/d/1GD4bjbieqRPeVJ7sxfH2IaINiJkPS-Am/view?usp=drivesdk")</f>
        <v>https://drive.google.com/file/d/1GD4bjbieqRPeVJ7sxfH2IaINiJkPS-Am/view?usp=drivesdk</v>
      </c>
      <c r="G513" s="21" t="s">
        <v>1594</v>
      </c>
      <c r="H513" s="95" t="s">
        <v>3208</v>
      </c>
      <c r="I513" s="40"/>
      <c r="J513" s="41">
        <v>35</v>
      </c>
      <c r="K513" s="41">
        <v>103</v>
      </c>
      <c r="L513" s="54">
        <v>0.1166666666666667</v>
      </c>
      <c r="M513" s="39" t="s">
        <v>22</v>
      </c>
      <c r="N513" s="48" t="s">
        <v>615</v>
      </c>
      <c r="O513" s="48" t="s">
        <v>1277</v>
      </c>
    </row>
    <row r="514" spans="1:15" ht="40.5">
      <c r="A514" s="5">
        <v>43164</v>
      </c>
      <c r="B514" s="18" t="s">
        <v>15</v>
      </c>
      <c r="C514" s="23" t="s">
        <v>16</v>
      </c>
      <c r="D514" s="77" t="s">
        <v>1591</v>
      </c>
      <c r="E514" s="106" t="s">
        <v>1592</v>
      </c>
      <c r="F514" s="85" t="str">
        <f>HYPERLINK("https://drive.google.com/file/d/1XPdiSk5j8seUZLKntbiV01D1By2PRGQ7/view?usp=drivesdk","https://drive.google.com/file/d/1XPdiSk5j8seUZLKntbiV01D1By2PRGQ7/view?usp=drivesdk")</f>
        <v>https://drive.google.com/file/d/1XPdiSk5j8seUZLKntbiV01D1By2PRGQ7/view?usp=drivesdk</v>
      </c>
      <c r="G514" s="77" t="s">
        <v>1593</v>
      </c>
      <c r="H514" s="73" t="s">
        <v>3193</v>
      </c>
      <c r="I514" s="10"/>
      <c r="J514" s="78">
        <v>57</v>
      </c>
      <c r="K514" s="78">
        <v>1037</v>
      </c>
      <c r="L514" s="79">
        <v>0.33333333333333331</v>
      </c>
      <c r="M514" s="39" t="s">
        <v>22</v>
      </c>
      <c r="N514" s="43" t="s">
        <v>675</v>
      </c>
      <c r="O514" s="80" t="s">
        <v>879</v>
      </c>
    </row>
    <row r="515" spans="1:15" ht="27">
      <c r="A515" s="5">
        <v>43163</v>
      </c>
      <c r="B515" s="18" t="s">
        <v>15</v>
      </c>
      <c r="C515" s="23" t="s">
        <v>16</v>
      </c>
      <c r="D515" s="7" t="s">
        <v>354</v>
      </c>
      <c r="E515" s="67" t="s">
        <v>1589</v>
      </c>
      <c r="F515" s="85" t="str">
        <f>HYPERLINK("https://drive.google.com/file/d/1nLwfuXUAQa5UNbXjtYtlaZFssGdvs-Lu/view?usp=drivesdk","https://drive.google.com/file/d/1nLwfuXUAQa5UNbXjtYtlaZFssGdvs-Lu/view?usp=drivesdk")</f>
        <v>https://drive.google.com/file/d/1nLwfuXUAQa5UNbXjtYtlaZFssGdvs-Lu/view?usp=drivesdk</v>
      </c>
      <c r="G515" s="7" t="s">
        <v>1590</v>
      </c>
      <c r="H515" s="95" t="s">
        <v>3225</v>
      </c>
      <c r="I515" s="10" t="s">
        <v>357</v>
      </c>
      <c r="J515" s="8">
        <v>183</v>
      </c>
      <c r="K515" s="8">
        <v>3011</v>
      </c>
      <c r="L515" s="54">
        <v>0.50624999999999998</v>
      </c>
      <c r="M515" s="39" t="s">
        <v>22</v>
      </c>
      <c r="N515" s="43" t="s">
        <v>675</v>
      </c>
      <c r="O515" s="43" t="s">
        <v>1584</v>
      </c>
    </row>
    <row r="516" spans="1:15" ht="28.5" customHeight="1">
      <c r="A516" s="5">
        <v>43155</v>
      </c>
      <c r="B516" s="18" t="s">
        <v>15</v>
      </c>
      <c r="C516" s="32" t="s">
        <v>16</v>
      </c>
      <c r="D516" s="7" t="s">
        <v>948</v>
      </c>
      <c r="E516" s="67" t="s">
        <v>1587</v>
      </c>
      <c r="F516" s="85" t="str">
        <f>HYPERLINK("https://drive.google.com/file/d/1QgBe-Z30JgApD2tnVuHExnQCoPVTimWl/view?usp=drivesdk","https://drive.google.com/file/d/1QgBe-Z30JgApD2tnVuHExnQCoPVTimWl/view?usp=drivesdk")</f>
        <v>https://drive.google.com/file/d/1QgBe-Z30JgApD2tnVuHExnQCoPVTimWl/view?usp=drivesdk</v>
      </c>
      <c r="G516" s="7" t="s">
        <v>1588</v>
      </c>
      <c r="H516" s="95" t="s">
        <v>3193</v>
      </c>
      <c r="I516" s="24" t="s">
        <v>40</v>
      </c>
      <c r="J516" s="8">
        <v>4</v>
      </c>
      <c r="K516" s="8">
        <v>43</v>
      </c>
      <c r="L516" s="11">
        <v>6.3888888888888884E-2</v>
      </c>
      <c r="M516" s="39" t="s">
        <v>330</v>
      </c>
      <c r="N516" s="43" t="s">
        <v>331</v>
      </c>
      <c r="O516" s="43" t="s">
        <v>332</v>
      </c>
    </row>
    <row r="517" spans="1:15" ht="40.5">
      <c r="A517" s="5">
        <v>43148</v>
      </c>
      <c r="B517" s="18" t="s">
        <v>15</v>
      </c>
      <c r="C517" s="23" t="s">
        <v>16</v>
      </c>
      <c r="D517" s="7" t="s">
        <v>556</v>
      </c>
      <c r="E517" s="67" t="s">
        <v>1585</v>
      </c>
      <c r="F517" s="85" t="str">
        <f>HYPERLINK("https://drive.google.com/file/d/1EtKAo9B5SZm5NCnBtVIIjB93q2V21oij/view?usp=drivesdk","https://drive.google.com/file/d/1EtKAo9B5SZm5NCnBtVIIjB93q2V21oij/view?usp=drivesdk")</f>
        <v>https://drive.google.com/file/d/1EtKAo9B5SZm5NCnBtVIIjB93q2V21oij/view?usp=drivesdk</v>
      </c>
      <c r="G517" s="7" t="s">
        <v>1586</v>
      </c>
      <c r="H517" s="95" t="s">
        <v>3225</v>
      </c>
      <c r="I517" s="10" t="s">
        <v>357</v>
      </c>
      <c r="J517" s="8">
        <v>174</v>
      </c>
      <c r="K517" s="8">
        <v>2639</v>
      </c>
      <c r="L517" s="54">
        <v>0.46805555555555561</v>
      </c>
      <c r="M517" s="39" t="s">
        <v>22</v>
      </c>
      <c r="N517" s="43" t="s">
        <v>675</v>
      </c>
      <c r="O517" s="43" t="s">
        <v>1584</v>
      </c>
    </row>
    <row r="518" spans="1:15" ht="14.25" customHeight="1">
      <c r="A518" s="5">
        <v>43135</v>
      </c>
      <c r="B518" s="18" t="s">
        <v>15</v>
      </c>
      <c r="C518" s="23" t="s">
        <v>16</v>
      </c>
      <c r="D518" s="7" t="s">
        <v>1581</v>
      </c>
      <c r="E518" s="67" t="s">
        <v>1582</v>
      </c>
      <c r="F518" s="85" t="str">
        <f>HYPERLINK("https://drive.google.com/file/d/1V5dIx3OUwMqqr2C-F7a4K89KAV1SdL7I/view?usp=drivesdk","https://drive.google.com/file/d/1V5dIx3OUwMqqr2C-F7a4K89KAV1SdL7I/view?usp=drivesdk")</f>
        <v>https://drive.google.com/file/d/1V5dIx3OUwMqqr2C-F7a4K89KAV1SdL7I/view?usp=drivesdk</v>
      </c>
      <c r="G518" s="7" t="s">
        <v>1583</v>
      </c>
      <c r="H518" s="95" t="s">
        <v>3344</v>
      </c>
      <c r="I518" s="10"/>
      <c r="J518" s="8">
        <v>125</v>
      </c>
      <c r="K518" s="8">
        <v>558</v>
      </c>
      <c r="L518" s="54">
        <v>0.36805555555555558</v>
      </c>
      <c r="M518" s="39" t="s">
        <v>22</v>
      </c>
      <c r="N518" s="43" t="s">
        <v>675</v>
      </c>
      <c r="O518" s="43" t="s">
        <v>1584</v>
      </c>
    </row>
    <row r="519" spans="1:15" ht="14.25" customHeight="1">
      <c r="A519" s="5">
        <v>43120</v>
      </c>
      <c r="B519" s="18" t="s">
        <v>15</v>
      </c>
      <c r="C519" s="23" t="s">
        <v>16</v>
      </c>
      <c r="D519" s="7" t="s">
        <v>354</v>
      </c>
      <c r="E519" s="67" t="s">
        <v>1579</v>
      </c>
      <c r="F519" s="85" t="str">
        <f>HYPERLINK("https://drive.google.com/file/d/1It0jPrsdSAYi7Gzg_17Wvh9GPzb8E2Ws/view?usp=drivesdk","https://drive.google.com/file/d/1It0jPrsdSAYi7Gzg_17Wvh9GPzb8E2Ws/view?usp=drivesdk")</f>
        <v>https://drive.google.com/file/d/1It0jPrsdSAYi7Gzg_17Wvh9GPzb8E2Ws/view?usp=drivesdk</v>
      </c>
      <c r="G519" s="7" t="s">
        <v>1580</v>
      </c>
      <c r="H519" s="73" t="s">
        <v>281</v>
      </c>
      <c r="I519" s="10" t="s">
        <v>357</v>
      </c>
      <c r="J519" s="8">
        <v>190</v>
      </c>
      <c r="K519" s="8">
        <v>3131</v>
      </c>
      <c r="L519" s="54">
        <v>0.47638888888888892</v>
      </c>
      <c r="M519" s="39" t="s">
        <v>22</v>
      </c>
      <c r="N519" s="43" t="s">
        <v>675</v>
      </c>
      <c r="O519" s="43" t="s">
        <v>879</v>
      </c>
    </row>
    <row r="520" spans="1:15" ht="40.5">
      <c r="A520" s="5">
        <v>43113</v>
      </c>
      <c r="B520" s="18" t="s">
        <v>15</v>
      </c>
      <c r="C520" s="23" t="s">
        <v>16</v>
      </c>
      <c r="D520" s="7" t="s">
        <v>566</v>
      </c>
      <c r="E520" s="67" t="s">
        <v>1577</v>
      </c>
      <c r="F520" s="85" t="str">
        <f>HYPERLINK("https://drive.google.com/file/d/1DuqEI1Ao02osi-KPuhFdw7a7ROAzG7fN/view?usp=drivesdk","https://drive.google.com/file/d/1DuqEI1Ao02osi-KPuhFdw7a7ROAzG7fN/view?usp=drivesdk")</f>
        <v>https://drive.google.com/file/d/1DuqEI1Ao02osi-KPuhFdw7a7ROAzG7fN/view?usp=drivesdk</v>
      </c>
      <c r="G520" s="7" t="s">
        <v>1578</v>
      </c>
      <c r="H520" s="95" t="s">
        <v>3344</v>
      </c>
      <c r="I520" s="10"/>
      <c r="J520" s="8">
        <v>194</v>
      </c>
      <c r="K520" s="8">
        <v>1403</v>
      </c>
      <c r="L520" s="54">
        <v>0.51041666666666663</v>
      </c>
      <c r="M520" s="39" t="s">
        <v>22</v>
      </c>
      <c r="N520" s="43" t="s">
        <v>675</v>
      </c>
      <c r="O520" s="43" t="s">
        <v>879</v>
      </c>
    </row>
    <row r="521" spans="1:15" ht="40.5">
      <c r="A521" s="5">
        <v>43107</v>
      </c>
      <c r="B521" s="18" t="s">
        <v>15</v>
      </c>
      <c r="C521" s="23" t="s">
        <v>223</v>
      </c>
      <c r="D521" s="21" t="s">
        <v>1569</v>
      </c>
      <c r="E521" s="67" t="s">
        <v>1575</v>
      </c>
      <c r="F521" s="85" t="str">
        <f>HYPERLINK("https://drive.google.com/file/d/1q5MF5PIwKJciN0fpA_TK_z1eOXtPP0OW/view?usp=drivesdk","https://drive.google.com/file/d/1q5MF5PIwKJciN0fpA_TK_z1eOXtPP0OW/view?usp=drivesdk")</f>
        <v>https://drive.google.com/file/d/1q5MF5PIwKJciN0fpA_TK_z1eOXtPP0OW/view?usp=drivesdk</v>
      </c>
      <c r="G521" s="21" t="s">
        <v>1576</v>
      </c>
      <c r="H521" s="95" t="s">
        <v>3213</v>
      </c>
      <c r="I521" s="40"/>
      <c r="J521" s="41">
        <v>73</v>
      </c>
      <c r="K521" s="41">
        <v>1428</v>
      </c>
      <c r="L521" s="46">
        <v>0.29583333333333328</v>
      </c>
      <c r="M521" s="39" t="s">
        <v>22</v>
      </c>
      <c r="N521" s="48" t="s">
        <v>675</v>
      </c>
      <c r="O521" s="43" t="s">
        <v>879</v>
      </c>
    </row>
    <row r="522" spans="1:15" ht="27" customHeight="1">
      <c r="A522" s="5">
        <v>43106</v>
      </c>
      <c r="B522" s="18" t="s">
        <v>15</v>
      </c>
      <c r="C522" s="23" t="s">
        <v>16</v>
      </c>
      <c r="D522" s="7" t="s">
        <v>1572</v>
      </c>
      <c r="E522" s="67" t="s">
        <v>1573</v>
      </c>
      <c r="F522" s="85" t="str">
        <f>HYPERLINK("https://drive.google.com/file/d/1ZJ22kwLCOmEsURWu4_oqercJG8xo9iLt/view?usp=drivesdk","https://drive.google.com/file/d/1ZJ22kwLCOmEsURWu4_oqercJG8xo9iLt/view?usp=drivesdk")</f>
        <v>https://drive.google.com/file/d/1ZJ22kwLCOmEsURWu4_oqercJG8xo9iLt/view?usp=drivesdk</v>
      </c>
      <c r="G522" s="7" t="s">
        <v>1574</v>
      </c>
      <c r="H522" s="95" t="s">
        <v>3344</v>
      </c>
      <c r="I522" s="10"/>
      <c r="J522" s="8">
        <v>140</v>
      </c>
      <c r="K522" s="8">
        <v>804</v>
      </c>
      <c r="L522" s="54">
        <v>0.44861111111111113</v>
      </c>
      <c r="M522" s="39" t="s">
        <v>22</v>
      </c>
      <c r="N522" s="43" t="s">
        <v>675</v>
      </c>
      <c r="O522" s="43" t="s">
        <v>879</v>
      </c>
    </row>
    <row r="523" spans="1:15" ht="27" customHeight="1">
      <c r="A523" s="5">
        <v>43098</v>
      </c>
      <c r="B523" s="18" t="s">
        <v>15</v>
      </c>
      <c r="C523" s="23" t="s">
        <v>16</v>
      </c>
      <c r="D523" s="21" t="s">
        <v>1569</v>
      </c>
      <c r="E523" s="67" t="s">
        <v>1570</v>
      </c>
      <c r="F523" s="85" t="str">
        <f>HYPERLINK("https://drive.google.com/file/d/1gL6W6C06cqmTlBBF1cRnlYr-OeIqpggw/view?usp=drivesdk","https://drive.google.com/file/d/1gL6W6C06cqmTlBBF1cRnlYr-OeIqpggw/view?usp=drivesdk")</f>
        <v>https://drive.google.com/file/d/1gL6W6C06cqmTlBBF1cRnlYr-OeIqpggw/view?usp=drivesdk</v>
      </c>
      <c r="G523" s="7" t="s">
        <v>1571</v>
      </c>
      <c r="H523" s="95" t="s">
        <v>3213</v>
      </c>
      <c r="I523" s="10"/>
      <c r="J523" s="8">
        <v>50</v>
      </c>
      <c r="K523" s="8">
        <v>862</v>
      </c>
      <c r="L523" s="54">
        <v>0.2388888888888889</v>
      </c>
      <c r="M523" s="39" t="s">
        <v>22</v>
      </c>
      <c r="N523" s="43" t="s">
        <v>675</v>
      </c>
      <c r="O523" s="43" t="s">
        <v>879</v>
      </c>
    </row>
    <row r="524" spans="1:15" ht="94.5" customHeight="1">
      <c r="A524" s="5">
        <v>43093</v>
      </c>
      <c r="B524" s="18" t="s">
        <v>15</v>
      </c>
      <c r="C524" s="23" t="s">
        <v>16</v>
      </c>
      <c r="D524" s="7" t="s">
        <v>691</v>
      </c>
      <c r="E524" s="67" t="s">
        <v>1567</v>
      </c>
      <c r="F524" s="85" t="str">
        <f>HYPERLINK("https://drive.google.com/file/d/107Kvt5Enga5Z7Eqg_OujCUjeg9JNj0Lk/view?usp=drivesdk","https://drive.google.com/file/d/107Kvt5Enga5Z7Eqg_OujCUjeg9JNj0Lk/view?usp=drivesdk")</f>
        <v>https://drive.google.com/file/d/107Kvt5Enga5Z7Eqg_OujCUjeg9JNj0Lk/view?usp=drivesdk</v>
      </c>
      <c r="G524" s="7" t="s">
        <v>1568</v>
      </c>
      <c r="H524" s="95" t="s">
        <v>3193</v>
      </c>
      <c r="I524" s="10"/>
      <c r="J524" s="8">
        <v>14</v>
      </c>
      <c r="K524" s="8">
        <v>120</v>
      </c>
      <c r="L524" s="11">
        <v>0.14930555555555561</v>
      </c>
      <c r="M524" s="39" t="s">
        <v>102</v>
      </c>
      <c r="N524" s="43" t="s">
        <v>194</v>
      </c>
      <c r="O524" s="43" t="s">
        <v>195</v>
      </c>
    </row>
    <row r="525" spans="1:15" ht="121.5" customHeight="1">
      <c r="A525" s="5">
        <v>43086</v>
      </c>
      <c r="B525" s="18" t="s">
        <v>15</v>
      </c>
      <c r="C525" s="16" t="s">
        <v>223</v>
      </c>
      <c r="D525" s="7" t="s">
        <v>1564</v>
      </c>
      <c r="E525" s="67" t="s">
        <v>1565</v>
      </c>
      <c r="F525" s="85" t="str">
        <f>HYPERLINK("https://drive.google.com/file/d/1k75qOYCoDtLFJAyMPh9ILW0h1lT26szo/view?usp=drivesdk","https://drive.google.com/file/d/1k75qOYCoDtLFJAyMPh9ILW0h1lT26szo/view?usp=drivesdk")</f>
        <v>https://drive.google.com/file/d/1k75qOYCoDtLFJAyMPh9ILW0h1lT26szo/view?usp=drivesdk</v>
      </c>
      <c r="G525" s="7" t="s">
        <v>1566</v>
      </c>
      <c r="H525" s="95" t="s">
        <v>3213</v>
      </c>
      <c r="I525" s="10"/>
      <c r="J525" s="8">
        <v>60</v>
      </c>
      <c r="K525" s="8">
        <v>1363</v>
      </c>
      <c r="L525" s="54">
        <v>0.27430555555555558</v>
      </c>
      <c r="M525" s="39" t="s">
        <v>720</v>
      </c>
      <c r="N525" s="43" t="s">
        <v>23</v>
      </c>
      <c r="O525" s="43" t="s">
        <v>802</v>
      </c>
    </row>
    <row r="526" spans="1:15" ht="81" customHeight="1">
      <c r="A526" s="5">
        <v>43079</v>
      </c>
      <c r="B526" s="18" t="s">
        <v>15</v>
      </c>
      <c r="C526" s="16" t="s">
        <v>223</v>
      </c>
      <c r="D526" s="7" t="s">
        <v>730</v>
      </c>
      <c r="E526" s="67" t="s">
        <v>1563</v>
      </c>
      <c r="F526" s="85" t="str">
        <f>HYPERLINK("https://drive.google.com/file/d/1tRXaRE8QRBIOlvMXTV3s8RIApxWsLeGr/view?usp=drivesdk","https://drive.google.com/file/d/1tRXaRE8QRBIOlvMXTV3s8RIApxWsLeGr/view?usp=drivesdk")</f>
        <v>https://drive.google.com/file/d/1tRXaRE8QRBIOlvMXTV3s8RIApxWsLeGr/view?usp=drivesdk</v>
      </c>
      <c r="G526" s="7" t="s">
        <v>727</v>
      </c>
      <c r="H526" s="95" t="s">
        <v>3209</v>
      </c>
      <c r="I526" s="10"/>
      <c r="J526" s="8">
        <v>40</v>
      </c>
      <c r="K526" s="8">
        <v>364</v>
      </c>
      <c r="L526" s="54">
        <v>0.1451388888888889</v>
      </c>
      <c r="M526" s="39" t="s">
        <v>19</v>
      </c>
      <c r="N526" s="43" t="s">
        <v>615</v>
      </c>
      <c r="O526" s="43" t="s">
        <v>1028</v>
      </c>
    </row>
    <row r="527" spans="1:15">
      <c r="A527" s="5">
        <v>43077</v>
      </c>
      <c r="B527" s="18" t="s">
        <v>15</v>
      </c>
      <c r="C527" s="16" t="s">
        <v>16</v>
      </c>
      <c r="D527" s="7" t="s">
        <v>32</v>
      </c>
      <c r="E527" s="105"/>
      <c r="G527" s="7" t="s">
        <v>1562</v>
      </c>
      <c r="H527" s="73" t="s">
        <v>222</v>
      </c>
      <c r="I527" s="10"/>
      <c r="J527" s="8">
        <v>60</v>
      </c>
      <c r="K527" s="8"/>
      <c r="L527" s="11"/>
      <c r="M527" s="39" t="s">
        <v>22</v>
      </c>
      <c r="N527" s="43" t="s">
        <v>615</v>
      </c>
      <c r="O527" s="48" t="s">
        <v>1277</v>
      </c>
    </row>
    <row r="528" spans="1:15" ht="121.5" customHeight="1">
      <c r="A528" s="5">
        <v>43071</v>
      </c>
      <c r="B528" s="18" t="s">
        <v>15</v>
      </c>
      <c r="C528" s="16" t="s">
        <v>16</v>
      </c>
      <c r="D528" s="7" t="s">
        <v>1559</v>
      </c>
      <c r="E528" s="67" t="s">
        <v>1560</v>
      </c>
      <c r="F528" s="85" t="str">
        <f>HYPERLINK("https://drive.google.com/file/d/18vaswxDdBBOaUcJmqSl_7WXuEKbuv-Tp/view?usp=drivesdk","https://drive.google.com/file/d/18vaswxDdBBOaUcJmqSl_7WXuEKbuv-Tp/view?usp=drivesdk")</f>
        <v>https://drive.google.com/file/d/18vaswxDdBBOaUcJmqSl_7WXuEKbuv-Tp/view?usp=drivesdk</v>
      </c>
      <c r="G528" s="7" t="s">
        <v>1561</v>
      </c>
      <c r="H528" s="73" t="s">
        <v>3213</v>
      </c>
      <c r="I528" s="15" t="s">
        <v>404</v>
      </c>
      <c r="J528" s="8">
        <v>29</v>
      </c>
      <c r="K528" s="8">
        <v>156</v>
      </c>
      <c r="L528" s="11">
        <v>0.21319444444444441</v>
      </c>
      <c r="M528" s="39" t="s">
        <v>330</v>
      </c>
      <c r="N528" s="43" t="s">
        <v>331</v>
      </c>
      <c r="O528" s="43" t="s">
        <v>332</v>
      </c>
    </row>
    <row r="529" spans="1:15" ht="40.5" customHeight="1">
      <c r="A529" s="5">
        <v>43064</v>
      </c>
      <c r="B529" s="18" t="s">
        <v>15</v>
      </c>
      <c r="C529" s="16" t="s">
        <v>16</v>
      </c>
      <c r="D529" s="7" t="s">
        <v>32</v>
      </c>
      <c r="E529" s="67" t="s">
        <v>1557</v>
      </c>
      <c r="F529" s="85" t="str">
        <f>HYPERLINK("https://drive.google.com/file/d/1qin8KQv7r9UCKPGDPAHJ1efztOHb0LOk/view?usp=drivesdk","https://drive.google.com/file/d/1qin8KQv7r9UCKPGDPAHJ1efztOHb0LOk/view?usp=drivesdk")</f>
        <v>https://drive.google.com/file/d/1qin8KQv7r9UCKPGDPAHJ1efztOHb0LOk/view?usp=drivesdk</v>
      </c>
      <c r="G529" s="7" t="s">
        <v>1558</v>
      </c>
      <c r="H529" s="73" t="s">
        <v>222</v>
      </c>
      <c r="I529" s="15" t="s">
        <v>404</v>
      </c>
      <c r="J529" s="8">
        <v>23</v>
      </c>
      <c r="K529" s="8">
        <v>82</v>
      </c>
      <c r="L529" s="54">
        <v>0.18819444444444439</v>
      </c>
      <c r="M529" s="39" t="s">
        <v>330</v>
      </c>
      <c r="N529" s="43" t="s">
        <v>331</v>
      </c>
      <c r="O529" s="43" t="s">
        <v>332</v>
      </c>
    </row>
    <row r="530" spans="1:15" ht="40.5" customHeight="1">
      <c r="A530" s="5">
        <v>43062</v>
      </c>
      <c r="B530" s="18" t="s">
        <v>15</v>
      </c>
      <c r="C530" s="16" t="s">
        <v>16</v>
      </c>
      <c r="D530" s="7" t="s">
        <v>1554</v>
      </c>
      <c r="E530" s="67" t="s">
        <v>1555</v>
      </c>
      <c r="F530" s="85" t="str">
        <f>HYPERLINK("https://drive.google.com/file/d/1aMA9_RWbuCCrvh8VnVeBQ6qNDd13m082/view?usp=drivesdk","https://drive.google.com/file/d/1aMA9_RWbuCCrvh8VnVeBQ6qNDd13m082/view?usp=drivesdk")</f>
        <v>https://drive.google.com/file/d/1aMA9_RWbuCCrvh8VnVeBQ6qNDd13m082/view?usp=drivesdk</v>
      </c>
      <c r="G530" s="7" t="s">
        <v>1556</v>
      </c>
      <c r="H530" s="73" t="s">
        <v>222</v>
      </c>
      <c r="I530" s="15" t="s">
        <v>404</v>
      </c>
      <c r="J530" s="8">
        <v>21</v>
      </c>
      <c r="K530" s="8">
        <v>92</v>
      </c>
      <c r="L530" s="11">
        <v>9.5138888888888884E-2</v>
      </c>
      <c r="M530" s="39" t="s">
        <v>22</v>
      </c>
      <c r="N530" s="43" t="s">
        <v>615</v>
      </c>
      <c r="O530" s="48" t="s">
        <v>1277</v>
      </c>
    </row>
    <row r="531" spans="1:15" ht="67.5" customHeight="1">
      <c r="A531" s="5">
        <v>43061</v>
      </c>
      <c r="B531" s="18" t="s">
        <v>15</v>
      </c>
      <c r="C531" s="16" t="s">
        <v>16</v>
      </c>
      <c r="D531" s="21" t="s">
        <v>1551</v>
      </c>
      <c r="E531" s="67" t="s">
        <v>1552</v>
      </c>
      <c r="F531" s="85" t="str">
        <f>HYPERLINK("https://drive.google.com/file/d/1hrB13jhv2NS2VRFvjYnLhkhDJ872kOuI/view?usp=drivesdk","https://drive.google.com/file/d/1hrB13jhv2NS2VRFvjYnLhkhDJ872kOuI/view?usp=drivesdk")</f>
        <v>https://drive.google.com/file/d/1hrB13jhv2NS2VRFvjYnLhkhDJ872kOuI/view?usp=drivesdk</v>
      </c>
      <c r="G531" s="7" t="s">
        <v>1553</v>
      </c>
      <c r="H531" s="73" t="s">
        <v>222</v>
      </c>
      <c r="I531" s="15" t="s">
        <v>404</v>
      </c>
      <c r="J531" s="41">
        <v>20</v>
      </c>
      <c r="K531" s="41">
        <v>80</v>
      </c>
      <c r="L531" s="46">
        <v>5.9027777777777783E-2</v>
      </c>
      <c r="M531" s="49" t="s">
        <v>22</v>
      </c>
      <c r="N531" s="48" t="s">
        <v>615</v>
      </c>
      <c r="O531" s="48" t="s">
        <v>1277</v>
      </c>
    </row>
    <row r="532" spans="1:15" ht="40.5" customHeight="1">
      <c r="A532" s="5">
        <v>43058</v>
      </c>
      <c r="B532" s="18" t="s">
        <v>15</v>
      </c>
      <c r="C532" s="16" t="s">
        <v>16</v>
      </c>
      <c r="D532" s="7" t="s">
        <v>1548</v>
      </c>
      <c r="E532" s="67" t="s">
        <v>1549</v>
      </c>
      <c r="F532" s="85" t="str">
        <f>HYPERLINK("https://drive.google.com/file/d/1EoIoLSGD1BiRam3IoFnGEHlWckS-YeF4/view?usp=drivesdk","https://drive.google.com/file/d/1EoIoLSGD1BiRam3IoFnGEHlWckS-YeF4/view?usp=drivesdk")</f>
        <v>https://drive.google.com/file/d/1EoIoLSGD1BiRam3IoFnGEHlWckS-YeF4/view?usp=drivesdk</v>
      </c>
      <c r="G532" s="7" t="s">
        <v>1550</v>
      </c>
      <c r="H532" s="73" t="s">
        <v>222</v>
      </c>
      <c r="I532" s="10"/>
      <c r="J532" s="8">
        <v>59</v>
      </c>
      <c r="K532" s="8">
        <v>281</v>
      </c>
      <c r="L532" s="54">
        <v>0.23541666666666669</v>
      </c>
      <c r="M532" s="39" t="s">
        <v>22</v>
      </c>
      <c r="N532" s="43" t="s">
        <v>615</v>
      </c>
      <c r="O532" s="48" t="s">
        <v>1277</v>
      </c>
    </row>
    <row r="533" spans="1:15" ht="94.5" customHeight="1">
      <c r="A533" s="5">
        <v>43051</v>
      </c>
      <c r="B533" s="18" t="s">
        <v>15</v>
      </c>
      <c r="C533" s="16" t="s">
        <v>16</v>
      </c>
      <c r="D533" s="7" t="s">
        <v>1545</v>
      </c>
      <c r="E533" s="67" t="s">
        <v>1546</v>
      </c>
      <c r="F533" s="85" t="str">
        <f>HYPERLINK("https://drive.google.com/file/d/1-nG9cEdLy_1jyMqrIBsVla8zSA4DhlB4/view?usp=drivesdk","https://drive.google.com/file/d/1-nG9cEdLy_1jyMqrIBsVla8zSA4DhlB4/view?usp=drivesdk")</f>
        <v>https://drive.google.com/file/d/1-nG9cEdLy_1jyMqrIBsVla8zSA4DhlB4/view?usp=drivesdk</v>
      </c>
      <c r="G533" s="7" t="s">
        <v>1547</v>
      </c>
      <c r="H533" s="95" t="s">
        <v>3203</v>
      </c>
      <c r="I533" s="10"/>
      <c r="J533" s="8">
        <v>39</v>
      </c>
      <c r="K533" s="8">
        <v>677</v>
      </c>
      <c r="L533" s="11">
        <v>0.1652777777777778</v>
      </c>
      <c r="M533" s="39" t="s">
        <v>22</v>
      </c>
      <c r="N533" s="43" t="s">
        <v>675</v>
      </c>
      <c r="O533" s="43" t="s">
        <v>879</v>
      </c>
    </row>
    <row r="534" spans="1:15" ht="67.5" customHeight="1">
      <c r="A534" s="5">
        <v>43044</v>
      </c>
      <c r="B534" s="18" t="s">
        <v>15</v>
      </c>
      <c r="C534" s="16" t="s">
        <v>16</v>
      </c>
      <c r="D534" s="21" t="s">
        <v>1542</v>
      </c>
      <c r="E534" s="67" t="s">
        <v>1543</v>
      </c>
      <c r="F534" s="85" t="str">
        <f>HYPERLINK("https://drive.google.com/file/d/1GD6eTnpHsXdB7_9WKW_9H672fyNHBJVt/view?usp=drivesdk","https://drive.google.com/file/d/1GD6eTnpHsXdB7_9WKW_9H672fyNHBJVt/view?usp=drivesdk")</f>
        <v>https://drive.google.com/file/d/1GD6eTnpHsXdB7_9WKW_9H672fyNHBJVt/view?usp=drivesdk</v>
      </c>
      <c r="G534" s="21" t="s">
        <v>1544</v>
      </c>
      <c r="H534" s="95" t="s">
        <v>3221</v>
      </c>
      <c r="I534" s="15" t="s">
        <v>404</v>
      </c>
      <c r="J534" s="41">
        <v>24</v>
      </c>
      <c r="K534" s="41">
        <v>345</v>
      </c>
      <c r="L534" s="46">
        <v>0.13472222222222219</v>
      </c>
      <c r="M534" s="49" t="s">
        <v>330</v>
      </c>
      <c r="N534" s="48" t="s">
        <v>331</v>
      </c>
      <c r="O534" s="48" t="s">
        <v>332</v>
      </c>
    </row>
    <row r="535" spans="1:15" ht="54" customHeight="1">
      <c r="A535" s="5">
        <v>43042</v>
      </c>
      <c r="B535" s="18" t="s">
        <v>15</v>
      </c>
      <c r="C535" s="16" t="s">
        <v>16</v>
      </c>
      <c r="D535" s="7" t="s">
        <v>610</v>
      </c>
      <c r="E535" s="67" t="s">
        <v>1537</v>
      </c>
      <c r="F535" s="85" t="str">
        <f>HYPERLINK("https://drive.google.com/file/d/13KOLbE2N2v6xaMpf1ODRBin29QwaRgyH/view?usp=drivesdk","https://drive.google.com/file/d/13KOLbE2N2v6xaMpf1ODRBin29QwaRgyH/view?usp=drivesdk")</f>
        <v>https://drive.google.com/file/d/13KOLbE2N2v6xaMpf1ODRBin29QwaRgyH/view?usp=drivesdk</v>
      </c>
      <c r="G535" s="7" t="s">
        <v>1538</v>
      </c>
      <c r="H535" s="95" t="s">
        <v>3203</v>
      </c>
      <c r="I535" s="15" t="s">
        <v>404</v>
      </c>
      <c r="J535" s="8">
        <v>15</v>
      </c>
      <c r="K535" s="8">
        <v>79</v>
      </c>
      <c r="L535" s="11">
        <v>7.2916666666666671E-2</v>
      </c>
      <c r="M535" s="39" t="s">
        <v>720</v>
      </c>
      <c r="N535" s="43" t="s">
        <v>23</v>
      </c>
      <c r="O535" s="43" t="s">
        <v>802</v>
      </c>
    </row>
    <row r="536" spans="1:15">
      <c r="A536" s="5">
        <v>43042</v>
      </c>
      <c r="B536" s="18" t="s">
        <v>15</v>
      </c>
      <c r="C536" s="16" t="s">
        <v>16</v>
      </c>
      <c r="D536" s="7" t="s">
        <v>1539</v>
      </c>
      <c r="E536" s="68" t="s">
        <v>1540</v>
      </c>
      <c r="F536" s="85" t="str">
        <f>HYPERLINK("https://drive.google.com/file/d/1gae3xpJsHhxo0P41amuuWgzZGZYOrvcd/view?usp=drivesdk","https://drive.google.com/file/d/1gae3xpJsHhxo0P41amuuWgzZGZYOrvcd/view?usp=drivesdk")</f>
        <v>https://drive.google.com/file/d/1gae3xpJsHhxo0P41amuuWgzZGZYOrvcd/view?usp=drivesdk</v>
      </c>
      <c r="G536" s="7" t="s">
        <v>1541</v>
      </c>
      <c r="H536" s="95" t="s">
        <v>3203</v>
      </c>
      <c r="I536" s="15" t="s">
        <v>404</v>
      </c>
      <c r="J536" s="8">
        <v>5</v>
      </c>
      <c r="K536" s="45">
        <v>179</v>
      </c>
      <c r="L536" s="11">
        <v>2.222222222222222E-2</v>
      </c>
      <c r="M536" s="39" t="s">
        <v>720</v>
      </c>
      <c r="N536" s="43" t="s">
        <v>23</v>
      </c>
      <c r="O536" s="43" t="s">
        <v>802</v>
      </c>
    </row>
    <row r="537" spans="1:15" ht="67.5" customHeight="1">
      <c r="A537" s="5">
        <v>43036</v>
      </c>
      <c r="B537" s="18" t="s">
        <v>15</v>
      </c>
      <c r="C537" s="23" t="s">
        <v>16</v>
      </c>
      <c r="D537" s="7" t="s">
        <v>3195</v>
      </c>
      <c r="E537" s="67" t="s">
        <v>1531</v>
      </c>
      <c r="F537" s="85" t="str">
        <f>HYPERLINK("https://drive.google.com/file/d/1SM4rM8JNYiBWhcTC2KW3VpkSND8QiJVk/view?usp=drivesdk","https://drive.google.com/file/d/1SM4rM8JNYiBWhcTC2KW3VpkSND8QiJVk/view?usp=drivesdk")</f>
        <v>https://drive.google.com/file/d/1SM4rM8JNYiBWhcTC2KW3VpkSND8QiJVk/view?usp=drivesdk</v>
      </c>
      <c r="G537" s="7" t="s">
        <v>1532</v>
      </c>
      <c r="H537" s="95" t="s">
        <v>3194</v>
      </c>
      <c r="I537" s="15" t="s">
        <v>404</v>
      </c>
      <c r="J537" s="8">
        <v>14</v>
      </c>
      <c r="K537" s="8">
        <v>225</v>
      </c>
      <c r="L537" s="11" t="s">
        <v>1533</v>
      </c>
      <c r="M537" s="39" t="s">
        <v>330</v>
      </c>
      <c r="N537" s="43" t="s">
        <v>331</v>
      </c>
      <c r="O537" s="43" t="s">
        <v>332</v>
      </c>
    </row>
    <row r="538" spans="1:15">
      <c r="A538" s="5">
        <v>43036</v>
      </c>
      <c r="B538" s="18" t="s">
        <v>15</v>
      </c>
      <c r="C538" s="16" t="s">
        <v>16</v>
      </c>
      <c r="D538" s="7" t="s">
        <v>1534</v>
      </c>
      <c r="E538" s="67" t="s">
        <v>1535</v>
      </c>
      <c r="F538" s="85" t="str">
        <f>HYPERLINK("https://drive.google.com/file/d/17XmwWjyjRZikqRgQ8wxLumr2Z7TyZk1c/view?usp=drivesdk","https://drive.google.com/file/d/17XmwWjyjRZikqRgQ8wxLumr2Z7TyZk1c/view?usp=drivesdk")</f>
        <v>https://drive.google.com/file/d/17XmwWjyjRZikqRgQ8wxLumr2Z7TyZk1c/view?usp=drivesdk</v>
      </c>
      <c r="G538" s="7" t="s">
        <v>1536</v>
      </c>
      <c r="H538" s="95" t="s">
        <v>3194</v>
      </c>
      <c r="I538" s="15" t="s">
        <v>404</v>
      </c>
      <c r="J538" s="8">
        <v>26</v>
      </c>
      <c r="K538" s="8">
        <v>275</v>
      </c>
      <c r="L538" s="11">
        <v>0.20347222222222219</v>
      </c>
      <c r="M538" s="39" t="s">
        <v>330</v>
      </c>
      <c r="N538" s="43" t="s">
        <v>331</v>
      </c>
      <c r="O538" s="43" t="s">
        <v>332</v>
      </c>
    </row>
    <row r="539" spans="1:15" ht="81" customHeight="1">
      <c r="A539" s="5">
        <v>43033</v>
      </c>
      <c r="B539" s="18" t="s">
        <v>15</v>
      </c>
      <c r="C539" s="23" t="s">
        <v>16</v>
      </c>
      <c r="D539" s="7" t="s">
        <v>1529</v>
      </c>
      <c r="E539" s="105"/>
      <c r="G539" s="7" t="s">
        <v>1530</v>
      </c>
      <c r="H539" s="95" t="s">
        <v>3196</v>
      </c>
      <c r="I539" s="15" t="s">
        <v>404</v>
      </c>
      <c r="J539" s="8"/>
      <c r="K539" s="8"/>
      <c r="L539" s="11"/>
      <c r="M539" s="39" t="s">
        <v>22</v>
      </c>
      <c r="N539" s="43" t="s">
        <v>675</v>
      </c>
      <c r="O539" s="43" t="s">
        <v>879</v>
      </c>
    </row>
    <row r="540" spans="1:15" ht="27" customHeight="1">
      <c r="A540" s="5">
        <v>43017</v>
      </c>
      <c r="B540" s="18" t="s">
        <v>15</v>
      </c>
      <c r="C540" s="23" t="s">
        <v>16</v>
      </c>
      <c r="D540" s="7" t="s">
        <v>1526</v>
      </c>
      <c r="E540" s="67" t="s">
        <v>1527</v>
      </c>
      <c r="F540" s="85" t="str">
        <f>HYPERLINK("https://drive.google.com/file/d/18Azlvp9ngNvYgIiqaD-Tk1d73Sw2_Pjw/view?usp=drivesdk","https://drive.google.com/file/d/18Azlvp9ngNvYgIiqaD-Tk1d73Sw2_Pjw/view?usp=drivesdk")</f>
        <v>https://drive.google.com/file/d/18Azlvp9ngNvYgIiqaD-Tk1d73Sw2_Pjw/view?usp=drivesdk</v>
      </c>
      <c r="G540" s="7" t="s">
        <v>1528</v>
      </c>
      <c r="H540" s="95" t="s">
        <v>3292</v>
      </c>
      <c r="I540" s="15" t="s">
        <v>404</v>
      </c>
      <c r="J540" s="8">
        <v>70</v>
      </c>
      <c r="K540" s="8">
        <v>788</v>
      </c>
      <c r="L540" s="54">
        <v>0.19236111111111109</v>
      </c>
      <c r="M540" s="39" t="s">
        <v>22</v>
      </c>
      <c r="N540" s="43" t="s">
        <v>675</v>
      </c>
      <c r="O540" s="43" t="s">
        <v>879</v>
      </c>
    </row>
    <row r="541" spans="1:15" ht="40.5" customHeight="1">
      <c r="A541" s="5">
        <v>43016</v>
      </c>
      <c r="B541" s="18" t="s">
        <v>15</v>
      </c>
      <c r="C541" s="23" t="s">
        <v>16</v>
      </c>
      <c r="D541" s="7" t="s">
        <v>1522</v>
      </c>
      <c r="E541" s="103" t="s">
        <v>1523</v>
      </c>
      <c r="F541" s="85" t="str">
        <f>HYPERLINK("https://drive.google.com/file/d/109Ug7Kr049IuOEwFYPzRk9ApAl4JnMPH/view?usp=drivesdk","https://drive.google.com/file/d/109Ug7Kr049IuOEwFYPzRk9ApAl4JnMPH/view?usp=drivesdk")</f>
        <v>https://drive.google.com/file/d/109Ug7Kr049IuOEwFYPzRk9ApAl4JnMPH/view?usp=drivesdk</v>
      </c>
      <c r="G541" s="7" t="s">
        <v>1524</v>
      </c>
      <c r="H541" s="95" t="s">
        <v>3267</v>
      </c>
      <c r="I541" s="23"/>
      <c r="J541" s="8">
        <v>151.69999999999999</v>
      </c>
      <c r="K541" s="8">
        <v>2703</v>
      </c>
      <c r="L541" s="11" t="s">
        <v>1525</v>
      </c>
      <c r="M541" s="39" t="s">
        <v>22</v>
      </c>
      <c r="N541" s="43" t="s">
        <v>675</v>
      </c>
      <c r="O541" s="43" t="s">
        <v>879</v>
      </c>
    </row>
    <row r="542" spans="1:15">
      <c r="A542" s="5">
        <v>43009</v>
      </c>
      <c r="B542" s="18" t="s">
        <v>15</v>
      </c>
      <c r="C542" s="23" t="s">
        <v>16</v>
      </c>
      <c r="D542" s="7" t="s">
        <v>1519</v>
      </c>
      <c r="E542" s="67" t="s">
        <v>1520</v>
      </c>
      <c r="F542" s="85" t="str">
        <f>HYPERLINK("https://drive.google.com/file/d/1jZM8ga6UOTyCDO16LpWSsw3jxfapzhH1/view?usp=drivesdk","https://drive.google.com/file/d/1jZM8ga6UOTyCDO16LpWSsw3jxfapzhH1/view?usp=drivesdk")</f>
        <v>https://drive.google.com/file/d/1jZM8ga6UOTyCDO16LpWSsw3jxfapzhH1/view?usp=drivesdk</v>
      </c>
      <c r="G542" s="7" t="s">
        <v>1521</v>
      </c>
      <c r="H542" s="95" t="s">
        <v>3224</v>
      </c>
      <c r="I542" s="10"/>
      <c r="J542" s="8">
        <v>10</v>
      </c>
      <c r="K542" s="8"/>
      <c r="L542" s="11"/>
      <c r="M542" s="39" t="s">
        <v>22</v>
      </c>
      <c r="N542" s="43" t="s">
        <v>675</v>
      </c>
      <c r="O542" s="43" t="s">
        <v>879</v>
      </c>
    </row>
    <row r="543" spans="1:15" ht="54" customHeight="1">
      <c r="A543" s="5">
        <v>43002</v>
      </c>
      <c r="B543" s="18" t="s">
        <v>15</v>
      </c>
      <c r="C543" s="23" t="s">
        <v>16</v>
      </c>
      <c r="D543" s="7" t="s">
        <v>1514</v>
      </c>
      <c r="E543" s="103" t="s">
        <v>1515</v>
      </c>
      <c r="F543" s="85" t="str">
        <f>HYPERLINK("https://drive.google.com/file/d/1uHMYRCr16bG4juhhB6qxa-4VAaFk1JBq/view?usp=drivesdk","https://drive.google.com/file/d/1uHMYRCr16bG4juhhB6qxa-4VAaFk1JBq/view?usp=drivesdk")</f>
        <v>https://drive.google.com/file/d/1uHMYRCr16bG4juhhB6qxa-4VAaFk1JBq/view?usp=drivesdk</v>
      </c>
      <c r="G543" s="7" t="s">
        <v>1516</v>
      </c>
      <c r="H543" s="97" t="s">
        <v>3253</v>
      </c>
      <c r="I543" s="23" t="s">
        <v>1517</v>
      </c>
      <c r="J543" s="8">
        <v>149.1</v>
      </c>
      <c r="K543" s="8">
        <v>3379</v>
      </c>
      <c r="L543" s="11" t="s">
        <v>1518</v>
      </c>
      <c r="M543" s="39" t="s">
        <v>22</v>
      </c>
      <c r="N543" s="43" t="s">
        <v>675</v>
      </c>
      <c r="O543" s="43" t="s">
        <v>879</v>
      </c>
    </row>
    <row r="544" spans="1:15" ht="40.5" customHeight="1">
      <c r="A544" s="5">
        <v>42988</v>
      </c>
      <c r="B544" s="18" t="s">
        <v>15</v>
      </c>
      <c r="C544" s="23" t="s">
        <v>223</v>
      </c>
      <c r="D544" s="7" t="s">
        <v>899</v>
      </c>
      <c r="E544" s="103" t="s">
        <v>1512</v>
      </c>
      <c r="F544" s="85" t="str">
        <f>HYPERLINK("https://drive.google.com/file/d/1juwhLemOs63I2MDXmwbLuYmUWbQtCpc0/view?usp=drivesdk","https://drive.google.com/file/d/1juwhLemOs63I2MDXmwbLuYmUWbQtCpc0/view?usp=drivesdk")</f>
        <v>https://drive.google.com/file/d/1juwhLemOs63I2MDXmwbLuYmUWbQtCpc0/view?usp=drivesdk</v>
      </c>
      <c r="G544" s="7" t="s">
        <v>899</v>
      </c>
      <c r="H544" s="95" t="s">
        <v>3236</v>
      </c>
      <c r="I544" s="23"/>
      <c r="J544" s="8">
        <v>77</v>
      </c>
      <c r="K544" s="8">
        <v>1643</v>
      </c>
      <c r="L544" s="11" t="s">
        <v>1513</v>
      </c>
      <c r="M544" s="39" t="s">
        <v>720</v>
      </c>
      <c r="N544" s="43" t="s">
        <v>23</v>
      </c>
      <c r="O544" s="43" t="s">
        <v>802</v>
      </c>
    </row>
    <row r="545" spans="1:15" ht="54" customHeight="1">
      <c r="A545" s="5">
        <v>42981</v>
      </c>
      <c r="B545" s="18" t="s">
        <v>15</v>
      </c>
      <c r="C545" s="23" t="s">
        <v>16</v>
      </c>
      <c r="D545" s="21" t="s">
        <v>668</v>
      </c>
      <c r="E545" s="67" t="s">
        <v>1511</v>
      </c>
      <c r="F545" s="85" t="str">
        <f>HYPERLINK("https://drive.google.com/file/d/1F3HoOOV_l6ccZBIh071YlPMZ4RjCPl34/view?usp=drivesdk","https://drive.google.com/file/d/1F3HoOOV_l6ccZBIh071YlPMZ4RjCPl34/view?usp=drivesdk")</f>
        <v>https://drive.google.com/file/d/1F3HoOOV_l6ccZBIh071YlPMZ4RjCPl34/view?usp=drivesdk</v>
      </c>
      <c r="G545" s="21" t="s">
        <v>668</v>
      </c>
      <c r="H545" s="95" t="s">
        <v>3193</v>
      </c>
      <c r="I545" s="40"/>
      <c r="J545" s="41">
        <v>22</v>
      </c>
      <c r="K545" s="41">
        <v>147</v>
      </c>
      <c r="L545" s="46">
        <v>8.2638888888888887E-2</v>
      </c>
      <c r="M545" s="49" t="s">
        <v>22</v>
      </c>
      <c r="N545" s="48" t="s">
        <v>615</v>
      </c>
      <c r="O545" s="48" t="s">
        <v>1277</v>
      </c>
    </row>
    <row r="546" spans="1:15" ht="27" customHeight="1">
      <c r="A546" s="5">
        <v>42953</v>
      </c>
      <c r="B546" s="18" t="s">
        <v>15</v>
      </c>
      <c r="C546" s="23" t="s">
        <v>16</v>
      </c>
      <c r="D546" s="21" t="s">
        <v>1509</v>
      </c>
      <c r="E546" s="67" t="s">
        <v>1510</v>
      </c>
      <c r="F546" s="85" t="str">
        <f>HYPERLINK("https://drive.google.com/file/d/1_3I36ZW5Gxzcsh5zywoiDV9KzBtTeXkz/view?usp=drivesdk","https://drive.google.com/file/d/1_3I36ZW5Gxzcsh5zywoiDV9KzBtTeXkz/view?usp=drivesdk")</f>
        <v>https://drive.google.com/file/d/1_3I36ZW5Gxzcsh5zywoiDV9KzBtTeXkz/view?usp=drivesdk</v>
      </c>
      <c r="G546" s="21" t="s">
        <v>1509</v>
      </c>
      <c r="H546" s="95" t="s">
        <v>3209</v>
      </c>
      <c r="I546" s="40"/>
      <c r="J546" s="41">
        <v>98</v>
      </c>
      <c r="K546" s="41">
        <v>969</v>
      </c>
      <c r="L546" s="46">
        <v>0.25763888888888892</v>
      </c>
      <c r="M546" s="39" t="s">
        <v>720</v>
      </c>
      <c r="N546" s="48" t="s">
        <v>23</v>
      </c>
      <c r="O546" s="43" t="s">
        <v>802</v>
      </c>
    </row>
    <row r="547" spans="1:15" ht="40.5" customHeight="1">
      <c r="A547" s="5">
        <v>42945</v>
      </c>
      <c r="B547" s="18" t="s">
        <v>15</v>
      </c>
      <c r="C547" s="23" t="s">
        <v>16</v>
      </c>
      <c r="D547" s="7" t="s">
        <v>244</v>
      </c>
      <c r="E547" s="68" t="s">
        <v>1508</v>
      </c>
      <c r="F547" s="85" t="str">
        <f>HYPERLINK("https://drive.google.com/file/d/1p7p8cY5jug29432Vpbn84yP5UcME5myq/view?usp=drivesdk","https://drive.google.com/file/d/1p7p8cY5jug29432Vpbn84yP5UcME5myq/view?usp=drivesdk")</f>
        <v>https://drive.google.com/file/d/1p7p8cY5jug29432Vpbn84yP5UcME5myq/view?usp=drivesdk</v>
      </c>
      <c r="G547" s="7" t="s">
        <v>65</v>
      </c>
      <c r="H547" s="95" t="s">
        <v>3203</v>
      </c>
      <c r="I547" s="7" t="s">
        <v>244</v>
      </c>
      <c r="J547" s="8">
        <v>20</v>
      </c>
      <c r="K547" s="8">
        <v>757</v>
      </c>
      <c r="L547" s="54">
        <v>0.12986111111111109</v>
      </c>
      <c r="M547" s="39" t="s">
        <v>22</v>
      </c>
      <c r="N547" s="43" t="s">
        <v>675</v>
      </c>
      <c r="O547" s="43" t="s">
        <v>879</v>
      </c>
    </row>
    <row r="548" spans="1:15" ht="40.5" customHeight="1">
      <c r="A548" s="5">
        <v>42939</v>
      </c>
      <c r="B548" s="18" t="s">
        <v>15</v>
      </c>
      <c r="C548" s="23" t="s">
        <v>16</v>
      </c>
      <c r="D548" s="7" t="s">
        <v>244</v>
      </c>
      <c r="E548" s="67" t="s">
        <v>1506</v>
      </c>
      <c r="F548" s="85" t="str">
        <f>HYPERLINK("https://drive.google.com/file/d/1GBfCScozFA6F_MkvaGyZQ8DRywuMbLZ4/view?usp=drivesdk","https://drive.google.com/file/d/1GBfCScozFA6F_MkvaGyZQ8DRywuMbLZ4/view?usp=drivesdk")</f>
        <v>https://drive.google.com/file/d/1GBfCScozFA6F_MkvaGyZQ8DRywuMbLZ4/view?usp=drivesdk</v>
      </c>
      <c r="G548" s="7" t="s">
        <v>1507</v>
      </c>
      <c r="H548" s="95" t="s">
        <v>3203</v>
      </c>
      <c r="I548" s="7" t="s">
        <v>244</v>
      </c>
      <c r="J548" s="8">
        <v>58</v>
      </c>
      <c r="K548" s="8">
        <v>1848</v>
      </c>
      <c r="L548" s="11">
        <v>0.21319444444444441</v>
      </c>
      <c r="M548" s="39" t="s">
        <v>720</v>
      </c>
      <c r="N548" s="43" t="s">
        <v>23</v>
      </c>
      <c r="O548" s="43" t="s">
        <v>802</v>
      </c>
    </row>
    <row r="549" spans="1:15" ht="81" customHeight="1">
      <c r="A549" s="5">
        <v>42933</v>
      </c>
      <c r="B549" s="18" t="s">
        <v>15</v>
      </c>
      <c r="C549" s="23" t="s">
        <v>16</v>
      </c>
      <c r="D549" s="7" t="s">
        <v>1503</v>
      </c>
      <c r="E549" s="67" t="s">
        <v>1504</v>
      </c>
      <c r="F549" s="85" t="str">
        <f>HYPERLINK("https://drive.google.com/file/d/1bxAofw9ovEOsj7sMkklBV8FUbvbRn_Ji/view?usp=drivesdk","https://drive.google.com/file/d/1bxAofw9ovEOsj7sMkklBV8FUbvbRn_Ji/view?usp=drivesdk")</f>
        <v>https://drive.google.com/file/d/1bxAofw9ovEOsj7sMkklBV8FUbvbRn_Ji/view?usp=drivesdk</v>
      </c>
      <c r="G549" s="7" t="s">
        <v>1505</v>
      </c>
      <c r="H549" s="95" t="s">
        <v>3208</v>
      </c>
      <c r="I549" s="10"/>
      <c r="J549" s="8">
        <v>26</v>
      </c>
      <c r="K549" s="8">
        <v>46</v>
      </c>
      <c r="L549" s="54">
        <v>0.1076388888888889</v>
      </c>
      <c r="M549" s="39" t="s">
        <v>22</v>
      </c>
      <c r="N549" s="43" t="s">
        <v>615</v>
      </c>
      <c r="O549" s="48" t="s">
        <v>1277</v>
      </c>
    </row>
    <row r="550" spans="1:15" ht="54" customHeight="1">
      <c r="A550" s="5">
        <v>42932</v>
      </c>
      <c r="B550" s="18" t="s">
        <v>15</v>
      </c>
      <c r="C550" s="23" t="s">
        <v>16</v>
      </c>
      <c r="D550" s="7" t="s">
        <v>276</v>
      </c>
      <c r="E550" s="67" t="s">
        <v>1502</v>
      </c>
      <c r="F550" s="85" t="str">
        <f>HYPERLINK("https://drive.google.com/file/d/17QuySYk52lyhJ-KzFf4dtVTzNnN-EdAE/view?usp=drivesdk","https://drive.google.com/file/d/17QuySYk52lyhJ-KzFf4dtVTzNnN-EdAE/view?usp=drivesdk")</f>
        <v>https://drive.google.com/file/d/17QuySYk52lyhJ-KzFf4dtVTzNnN-EdAE/view?usp=drivesdk</v>
      </c>
      <c r="G550" s="7" t="s">
        <v>383</v>
      </c>
      <c r="H550" s="95" t="s">
        <v>3202</v>
      </c>
      <c r="I550" s="23" t="s">
        <v>276</v>
      </c>
      <c r="J550" s="8">
        <v>40</v>
      </c>
      <c r="K550" s="8">
        <v>1204</v>
      </c>
      <c r="L550" s="54">
        <v>0.13472222222222219</v>
      </c>
      <c r="M550" s="39" t="s">
        <v>22</v>
      </c>
      <c r="N550" s="43" t="s">
        <v>675</v>
      </c>
      <c r="O550" s="43" t="s">
        <v>879</v>
      </c>
    </row>
    <row r="551" spans="1:15" ht="27">
      <c r="A551" s="5">
        <v>42931</v>
      </c>
      <c r="B551" s="18" t="s">
        <v>15</v>
      </c>
      <c r="C551" s="23" t="s">
        <v>16</v>
      </c>
      <c r="D551" s="7" t="s">
        <v>1499</v>
      </c>
      <c r="E551" s="67" t="s">
        <v>1500</v>
      </c>
      <c r="F551" s="85" t="str">
        <f>HYPERLINK("https://drive.google.com/file/d/1GUXW-ARWLitMEHP2eT6nZMdtPdh4GjpT/view?usp=drivesdk","https://drive.google.com/file/d/1GUXW-ARWLitMEHP2eT6nZMdtPdh4GjpT/view?usp=drivesdk")</f>
        <v>https://drive.google.com/file/d/1GUXW-ARWLitMEHP2eT6nZMdtPdh4GjpT/view?usp=drivesdk</v>
      </c>
      <c r="G551" s="7" t="s">
        <v>1501</v>
      </c>
      <c r="H551" s="95" t="s">
        <v>3291</v>
      </c>
      <c r="I551" s="10"/>
      <c r="J551" s="8">
        <v>122</v>
      </c>
      <c r="K551" s="8">
        <v>2286</v>
      </c>
      <c r="L551" s="54">
        <v>0.37986111111111109</v>
      </c>
      <c r="M551" s="39" t="s">
        <v>22</v>
      </c>
      <c r="N551" s="43" t="s">
        <v>675</v>
      </c>
      <c r="O551" s="43" t="s">
        <v>879</v>
      </c>
    </row>
    <row r="552" spans="1:15" ht="40.5" customHeight="1">
      <c r="A552" s="5">
        <v>42910</v>
      </c>
      <c r="B552" s="18" t="s">
        <v>15</v>
      </c>
      <c r="C552" s="23" t="s">
        <v>16</v>
      </c>
      <c r="D552" s="7" t="s">
        <v>238</v>
      </c>
      <c r="E552" s="67" t="s">
        <v>1497</v>
      </c>
      <c r="F552" s="85" t="str">
        <f>HYPERLINK("https://drive.google.com/file/d/1KuwMmstdwxtN0XRrxxLTr8fzHGkVdg4r/view?usp=drivesdk","https://drive.google.com/file/d/1KuwMmstdwxtN0XRrxxLTr8fzHGkVdg4r/view?usp=drivesdk")</f>
        <v>https://drive.google.com/file/d/1KuwMmstdwxtN0XRrxxLTr8fzHGkVdg4r/view?usp=drivesdk</v>
      </c>
      <c r="G552" s="7" t="s">
        <v>1498</v>
      </c>
      <c r="H552" s="95" t="s">
        <v>3348</v>
      </c>
      <c r="I552" s="81" t="s">
        <v>29</v>
      </c>
      <c r="J552" s="8">
        <v>180</v>
      </c>
      <c r="K552" s="8">
        <v>2398</v>
      </c>
      <c r="L552" s="11">
        <v>0.40555555555555561</v>
      </c>
      <c r="M552" s="39" t="s">
        <v>22</v>
      </c>
      <c r="N552" s="43" t="s">
        <v>675</v>
      </c>
      <c r="O552" s="43" t="s">
        <v>879</v>
      </c>
    </row>
    <row r="553" spans="1:15" ht="27">
      <c r="A553" s="5">
        <v>42904</v>
      </c>
      <c r="B553" s="18" t="s">
        <v>15</v>
      </c>
      <c r="C553" s="23" t="s">
        <v>16</v>
      </c>
      <c r="D553" s="7" t="s">
        <v>1494</v>
      </c>
      <c r="E553" s="67" t="s">
        <v>1495</v>
      </c>
      <c r="F553" s="85" t="str">
        <f>HYPERLINK("https://drive.google.com/file/d/13Rw7E_y3o52A1Lp1iL6_W77JvPLYq-r8/view?usp=drivesdk","https://drive.google.com/file/d/13Rw7E_y3o52A1Lp1iL6_W77JvPLYq-r8/view?usp=drivesdk")</f>
        <v>https://drive.google.com/file/d/13Rw7E_y3o52A1Lp1iL6_W77JvPLYq-r8/view?usp=drivesdk</v>
      </c>
      <c r="G553" s="7" t="s">
        <v>1496</v>
      </c>
      <c r="H553" s="73" t="s">
        <v>222</v>
      </c>
      <c r="I553" s="10"/>
      <c r="J553" s="8">
        <v>47</v>
      </c>
      <c r="K553" s="8">
        <v>198</v>
      </c>
      <c r="L553" s="54">
        <v>0.20277777777777781</v>
      </c>
      <c r="M553" s="39" t="s">
        <v>22</v>
      </c>
      <c r="N553" s="43" t="s">
        <v>615</v>
      </c>
      <c r="O553" s="48" t="s">
        <v>1277</v>
      </c>
    </row>
    <row r="554" spans="1:15" ht="18.75">
      <c r="A554" s="5">
        <v>42903</v>
      </c>
      <c r="B554" s="18" t="s">
        <v>15</v>
      </c>
      <c r="C554" s="23" t="s">
        <v>16</v>
      </c>
      <c r="D554" s="7" t="s">
        <v>27</v>
      </c>
      <c r="E554" s="67" t="s">
        <v>1493</v>
      </c>
      <c r="F554" s="85" t="str">
        <f>HYPERLINK("https://drive.google.com/file/d/1xevVZn_wdBG2dPBORgJmb-r7RJJcGo8d/view?usp=drivesdk","https://drive.google.com/file/d/1xevVZn_wdBG2dPBORgJmb-r7RJJcGo8d/view?usp=drivesdk")</f>
        <v>https://drive.google.com/file/d/1xevVZn_wdBG2dPBORgJmb-r7RJJcGo8d/view?usp=drivesdk</v>
      </c>
      <c r="G554" s="7" t="s">
        <v>346</v>
      </c>
      <c r="H554" s="73" t="s">
        <v>222</v>
      </c>
      <c r="I554" s="81" t="s">
        <v>29</v>
      </c>
      <c r="J554" s="8">
        <v>44</v>
      </c>
      <c r="K554" s="8">
        <v>823</v>
      </c>
      <c r="L554" s="54">
        <v>8.9583333333333334E-2</v>
      </c>
      <c r="M554" s="39" t="s">
        <v>22</v>
      </c>
      <c r="N554" s="43" t="s">
        <v>23</v>
      </c>
      <c r="O554" s="48" t="s">
        <v>136</v>
      </c>
    </row>
    <row r="555" spans="1:15" ht="40.5" customHeight="1">
      <c r="A555" s="5">
        <v>42896</v>
      </c>
      <c r="B555" s="18" t="s">
        <v>15</v>
      </c>
      <c r="C555" s="23" t="s">
        <v>16</v>
      </c>
      <c r="D555" s="7" t="s">
        <v>27</v>
      </c>
      <c r="E555" s="67" t="s">
        <v>1492</v>
      </c>
      <c r="F555" s="85" t="str">
        <f>HYPERLINK("https://drive.google.com/file/d/1KSE5U8MEDj6n72ORJzz7DQEazrlS-YM5/view?usp=drivesdk","https://drive.google.com/file/d/1KSE5U8MEDj6n72ORJzz7DQEazrlS-YM5/view?usp=drivesdk")</f>
        <v>https://drive.google.com/file/d/1KSE5U8MEDj6n72ORJzz7DQEazrlS-YM5/view?usp=drivesdk</v>
      </c>
      <c r="G555" s="7" t="s">
        <v>346</v>
      </c>
      <c r="H555" s="96" t="s">
        <v>222</v>
      </c>
      <c r="I555" s="81" t="s">
        <v>29</v>
      </c>
      <c r="J555" s="41">
        <v>43</v>
      </c>
      <c r="K555" s="41">
        <v>803</v>
      </c>
      <c r="L555" s="54">
        <v>8.8888888888888892E-2</v>
      </c>
      <c r="M555" s="39" t="s">
        <v>22</v>
      </c>
      <c r="N555" s="48" t="s">
        <v>23</v>
      </c>
      <c r="O555" s="48" t="s">
        <v>136</v>
      </c>
    </row>
    <row r="556" spans="1:15" ht="40.5">
      <c r="A556" s="5">
        <v>42892</v>
      </c>
      <c r="B556" s="18" t="s">
        <v>15</v>
      </c>
      <c r="C556" s="23" t="s">
        <v>16</v>
      </c>
      <c r="D556" s="7" t="s">
        <v>1489</v>
      </c>
      <c r="E556" s="68" t="s">
        <v>1490</v>
      </c>
      <c r="F556" s="85" t="str">
        <f>HYPERLINK("https://drive.google.com/file/d/1m2oo9-ugBS5mIlCrXMdc3lDhvzXPeZa5/view?usp=drivesdk","https://drive.google.com/file/d/1m2oo9-ugBS5mIlCrXMdc3lDhvzXPeZa5/view?usp=drivesdk")</f>
        <v>https://drive.google.com/file/d/1m2oo9-ugBS5mIlCrXMdc3lDhvzXPeZa5/view?usp=drivesdk</v>
      </c>
      <c r="G556" s="7" t="s">
        <v>1491</v>
      </c>
      <c r="H556" s="95" t="s">
        <v>3203</v>
      </c>
      <c r="I556" s="10"/>
      <c r="J556" s="8">
        <v>60</v>
      </c>
      <c r="K556" s="8">
        <v>1888</v>
      </c>
      <c r="L556" s="54">
        <v>0.25138888888888888</v>
      </c>
      <c r="M556" s="39" t="s">
        <v>22</v>
      </c>
      <c r="N556" s="43" t="s">
        <v>675</v>
      </c>
      <c r="O556" s="43" t="s">
        <v>879</v>
      </c>
    </row>
    <row r="557" spans="1:15" ht="40.5">
      <c r="A557" s="5">
        <v>42890</v>
      </c>
      <c r="B557" s="18" t="s">
        <v>15</v>
      </c>
      <c r="C557" s="23" t="s">
        <v>16</v>
      </c>
      <c r="D557" s="7" t="s">
        <v>1486</v>
      </c>
      <c r="E557" s="67" t="s">
        <v>1487</v>
      </c>
      <c r="F557" s="85" t="str">
        <f>HYPERLINK("https://drive.google.com/file/d/1JXuXoBZqHlv1oESfDqX3n0RzVtgZtUhv/view?usp=drivesdk","https://drive.google.com/file/d/1JXuXoBZqHlv1oESfDqX3n0RzVtgZtUhv/view?usp=drivesdk")</f>
        <v>https://drive.google.com/file/d/1JXuXoBZqHlv1oESfDqX3n0RzVtgZtUhv/view?usp=drivesdk</v>
      </c>
      <c r="G557" s="7" t="s">
        <v>1488</v>
      </c>
      <c r="H557" s="73" t="s">
        <v>3208</v>
      </c>
      <c r="I557" s="10"/>
      <c r="J557" s="8">
        <v>40</v>
      </c>
      <c r="K557" s="8">
        <v>191</v>
      </c>
      <c r="L557" s="54">
        <v>0.1118055555555556</v>
      </c>
      <c r="M557" s="39" t="s">
        <v>22</v>
      </c>
      <c r="N557" s="43" t="s">
        <v>615</v>
      </c>
      <c r="O557" s="48" t="s">
        <v>1277</v>
      </c>
    </row>
    <row r="558" spans="1:15" ht="27" customHeight="1">
      <c r="A558" s="5">
        <v>42883</v>
      </c>
      <c r="B558" s="18" t="s">
        <v>15</v>
      </c>
      <c r="C558" s="23" t="s">
        <v>16</v>
      </c>
      <c r="D558" s="7" t="s">
        <v>32</v>
      </c>
      <c r="E558" s="68" t="s">
        <v>1484</v>
      </c>
      <c r="F558" s="85" t="str">
        <f>HYPERLINK("https://drive.google.com/file/d/1lbc0CNCLJ_fBtiXx2uBZE6HbUx6TIHM3/view?usp=drivesdk","https://drive.google.com/file/d/1lbc0CNCLJ_fBtiXx2uBZE6HbUx6TIHM3/view?usp=drivesdk")</f>
        <v>https://drive.google.com/file/d/1lbc0CNCLJ_fBtiXx2uBZE6HbUx6TIHM3/view?usp=drivesdk</v>
      </c>
      <c r="G558" s="7" t="s">
        <v>1485</v>
      </c>
      <c r="H558" s="73" t="s">
        <v>222</v>
      </c>
      <c r="I558" s="10"/>
      <c r="J558" s="8">
        <v>20</v>
      </c>
      <c r="K558" s="8">
        <v>108</v>
      </c>
      <c r="L558" s="11">
        <v>0.17083333333333331</v>
      </c>
      <c r="M558" s="39" t="s">
        <v>330</v>
      </c>
      <c r="N558" s="43" t="s">
        <v>331</v>
      </c>
      <c r="O558" s="43" t="s">
        <v>332</v>
      </c>
    </row>
    <row r="559" spans="1:15" ht="27" customHeight="1">
      <c r="A559" s="5">
        <v>42882</v>
      </c>
      <c r="B559" s="18" t="s">
        <v>15</v>
      </c>
      <c r="C559" s="23" t="s">
        <v>223</v>
      </c>
      <c r="D559" s="7" t="s">
        <v>1481</v>
      </c>
      <c r="E559" s="67" t="s">
        <v>1482</v>
      </c>
      <c r="F559" s="85" t="str">
        <f>HYPERLINK("https://drive.google.com/file/d/14y50CedvTjL_lEIx6vOaJ45O9gdB9epF/view?usp=drivesdk","https://drive.google.com/file/d/14y50CedvTjL_lEIx6vOaJ45O9gdB9epF/view?usp=drivesdk")</f>
        <v>https://drive.google.com/file/d/14y50CedvTjL_lEIx6vOaJ45O9gdB9epF/view?usp=drivesdk</v>
      </c>
      <c r="G559" s="7" t="s">
        <v>1483</v>
      </c>
      <c r="H559" s="95" t="s">
        <v>3203</v>
      </c>
      <c r="I559" s="23"/>
      <c r="J559" s="8">
        <v>74</v>
      </c>
      <c r="K559" s="8">
        <v>1954</v>
      </c>
      <c r="L559" s="54">
        <v>0.26874999999999999</v>
      </c>
      <c r="M559" s="39" t="s">
        <v>22</v>
      </c>
      <c r="N559" s="43" t="s">
        <v>675</v>
      </c>
      <c r="O559" s="43" t="s">
        <v>879</v>
      </c>
    </row>
    <row r="560" spans="1:15" ht="27" customHeight="1">
      <c r="A560" s="5">
        <v>42875</v>
      </c>
      <c r="B560" s="18" t="s">
        <v>15</v>
      </c>
      <c r="C560" s="23" t="s">
        <v>16</v>
      </c>
      <c r="D560" s="7" t="s">
        <v>1478</v>
      </c>
      <c r="E560" s="67" t="s">
        <v>1479</v>
      </c>
      <c r="F560" s="85" t="str">
        <f>HYPERLINK("https://drive.google.com/file/d/1q7_c6fRvIwPRTKAk7gsgEJlpjY0yh9U2/view?usp=drivesdk","https://drive.google.com/file/d/1q7_c6fRvIwPRTKAk7gsgEJlpjY0yh9U2/view?usp=drivesdk")</f>
        <v>https://drive.google.com/file/d/1q7_c6fRvIwPRTKAk7gsgEJlpjY0yh9U2/view?usp=drivesdk</v>
      </c>
      <c r="G560" s="7" t="s">
        <v>1480</v>
      </c>
      <c r="H560" s="95" t="s">
        <v>3242</v>
      </c>
      <c r="I560" s="10"/>
      <c r="J560" s="8">
        <v>102</v>
      </c>
      <c r="K560" s="8">
        <v>1987</v>
      </c>
      <c r="L560" s="54">
        <v>0.29375000000000001</v>
      </c>
      <c r="M560" s="39" t="s">
        <v>22</v>
      </c>
      <c r="N560" s="43" t="s">
        <v>675</v>
      </c>
      <c r="O560" s="43" t="s">
        <v>879</v>
      </c>
    </row>
    <row r="561" spans="1:15" ht="40.5">
      <c r="A561" s="5">
        <v>42862</v>
      </c>
      <c r="B561" s="18" t="s">
        <v>15</v>
      </c>
      <c r="C561" s="23" t="s">
        <v>16</v>
      </c>
      <c r="D561" s="7" t="s">
        <v>1475</v>
      </c>
      <c r="E561" s="67" t="s">
        <v>1476</v>
      </c>
      <c r="F561" s="85" t="str">
        <f>HYPERLINK("https://drive.google.com/file/d/1u4foFF6gy2OB_njfELDFPUtBvqvUJRot/view?usp=drivesdk","https://drive.google.com/file/d/1u4foFF6gy2OB_njfELDFPUtBvqvUJRot/view?usp=drivesdk")</f>
        <v>https://drive.google.com/file/d/1u4foFF6gy2OB_njfELDFPUtBvqvUJRot/view?usp=drivesdk</v>
      </c>
      <c r="G561" s="7" t="s">
        <v>1477</v>
      </c>
      <c r="H561" s="95" t="s">
        <v>3209</v>
      </c>
      <c r="I561" s="10"/>
      <c r="J561" s="8">
        <v>130</v>
      </c>
      <c r="K561" s="8">
        <v>2175</v>
      </c>
      <c r="L561" s="54">
        <v>0.33055555555555549</v>
      </c>
      <c r="M561" s="39" t="s">
        <v>22</v>
      </c>
      <c r="N561" s="43" t="s">
        <v>23</v>
      </c>
      <c r="O561" s="43" t="s">
        <v>136</v>
      </c>
    </row>
    <row r="562" spans="1:15" ht="54">
      <c r="A562" s="5">
        <v>42859</v>
      </c>
      <c r="B562" s="18" t="s">
        <v>15</v>
      </c>
      <c r="C562" s="23" t="s">
        <v>16</v>
      </c>
      <c r="D562" s="7" t="s">
        <v>1472</v>
      </c>
      <c r="E562" s="67" t="s">
        <v>1473</v>
      </c>
      <c r="F562" s="85" t="str">
        <f>HYPERLINK("https://drive.google.com/file/d/1V9xLzcsBqL-v5nGMhowo5998gFqao1HR/view?usp=drivesdk","https://drive.google.com/file/d/1V9xLzcsBqL-v5nGMhowo5998gFqao1HR/view?usp=drivesdk")</f>
        <v>https://drive.google.com/file/d/1V9xLzcsBqL-v5nGMhowo5998gFqao1HR/view?usp=drivesdk</v>
      </c>
      <c r="G562" s="7" t="s">
        <v>1474</v>
      </c>
      <c r="H562" s="95" t="s">
        <v>3287</v>
      </c>
      <c r="I562" s="10"/>
      <c r="J562" s="8">
        <v>49</v>
      </c>
      <c r="K562" s="8">
        <v>641</v>
      </c>
      <c r="L562" s="54">
        <v>0.15972222222222221</v>
      </c>
      <c r="M562" s="39" t="s">
        <v>720</v>
      </c>
      <c r="N562" s="43" t="s">
        <v>23</v>
      </c>
      <c r="O562" s="43" t="s">
        <v>802</v>
      </c>
    </row>
    <row r="563" spans="1:15" ht="14.25" customHeight="1">
      <c r="A563" s="5">
        <v>42858</v>
      </c>
      <c r="B563" s="18" t="s">
        <v>15</v>
      </c>
      <c r="C563" s="23" t="s">
        <v>16</v>
      </c>
      <c r="D563" s="7" t="s">
        <v>1468</v>
      </c>
      <c r="E563" s="103" t="s">
        <v>1469</v>
      </c>
      <c r="F563" s="85" t="str">
        <f>HYPERLINK("https://drive.google.com/file/d/1Fz5enL3dlIfPiw7HzIk_zURb2mU0OgjN/view?usp=drivesdk","https://drive.google.com/file/d/1Fz5enL3dlIfPiw7HzIk_zURb2mU0OgjN/view?usp=drivesdk")</f>
        <v>https://drive.google.com/file/d/1Fz5enL3dlIfPiw7HzIk_zURb2mU0OgjN/view?usp=drivesdk</v>
      </c>
      <c r="G563" s="7" t="s">
        <v>1470</v>
      </c>
      <c r="H563" s="95" t="s">
        <v>3290</v>
      </c>
      <c r="I563" s="22"/>
      <c r="J563" s="8">
        <v>90</v>
      </c>
      <c r="K563" s="8">
        <v>2105</v>
      </c>
      <c r="L563" s="11" t="s">
        <v>1471</v>
      </c>
      <c r="M563" s="39" t="s">
        <v>22</v>
      </c>
      <c r="N563" s="43" t="s">
        <v>675</v>
      </c>
      <c r="O563" s="43" t="s">
        <v>879</v>
      </c>
    </row>
    <row r="564" spans="1:15" ht="27" customHeight="1">
      <c r="A564" s="5">
        <v>42857</v>
      </c>
      <c r="B564" s="18" t="s">
        <v>15</v>
      </c>
      <c r="C564" s="23" t="s">
        <v>16</v>
      </c>
      <c r="D564" s="7" t="s">
        <v>1465</v>
      </c>
      <c r="E564" s="103" t="s">
        <v>1466</v>
      </c>
      <c r="F564" s="85" t="str">
        <f>HYPERLINK("https://drive.google.com/file/d/15AnQllnmOIhTEPQMhSsqkSbvcBGaxSmB/view?usp=drivesdk","https://drive.google.com/file/d/15AnQllnmOIhTEPQMhSsqkSbvcBGaxSmB/view?usp=drivesdk")</f>
        <v>https://drive.google.com/file/d/15AnQllnmOIhTEPQMhSsqkSbvcBGaxSmB/view?usp=drivesdk</v>
      </c>
      <c r="G564" s="7" t="s">
        <v>1467</v>
      </c>
      <c r="H564" s="95" t="s">
        <v>3288</v>
      </c>
      <c r="I564" s="22"/>
      <c r="J564" s="8">
        <v>122.6</v>
      </c>
      <c r="K564" s="8">
        <v>2251</v>
      </c>
      <c r="L564" s="11" t="s">
        <v>1064</v>
      </c>
      <c r="M564" s="39" t="s">
        <v>22</v>
      </c>
      <c r="N564" s="43" t="s">
        <v>675</v>
      </c>
      <c r="O564" s="43" t="s">
        <v>879</v>
      </c>
    </row>
    <row r="565" spans="1:15">
      <c r="A565" s="5">
        <v>42855</v>
      </c>
      <c r="B565" s="18" t="s">
        <v>15</v>
      </c>
      <c r="C565" s="23" t="s">
        <v>16</v>
      </c>
      <c r="D565" s="7" t="s">
        <v>1459</v>
      </c>
      <c r="E565" s="105"/>
      <c r="F565" s="85" t="str">
        <f>HYPERLINK("https://drive.google.com/file/d/1usLGu45Va1g8zsFbvWPC7outFMSJK2-m/view?usp=drivesdk","https://drive.google.com/file/d/1usLGu45Va1g8zsFbvWPC7outFMSJK2-m/view?usp=drivesdk")</f>
        <v>https://drive.google.com/file/d/1usLGu45Va1g8zsFbvWPC7outFMSJK2-m/view?usp=drivesdk</v>
      </c>
      <c r="G565" s="7" t="s">
        <v>1460</v>
      </c>
      <c r="H565" s="73" t="s">
        <v>3288</v>
      </c>
      <c r="I565" s="10"/>
      <c r="J565" s="8">
        <v>5</v>
      </c>
      <c r="K565" s="8"/>
      <c r="L565" s="11"/>
      <c r="M565" s="39" t="s">
        <v>720</v>
      </c>
      <c r="N565" s="43" t="s">
        <v>23</v>
      </c>
      <c r="O565" s="43" t="s">
        <v>802</v>
      </c>
    </row>
    <row r="566" spans="1:15" ht="27" customHeight="1">
      <c r="A566" s="5">
        <v>42855</v>
      </c>
      <c r="B566" s="18" t="s">
        <v>15</v>
      </c>
      <c r="C566" s="23" t="s">
        <v>16</v>
      </c>
      <c r="D566" s="7" t="s">
        <v>1461</v>
      </c>
      <c r="E566" s="103" t="s">
        <v>1462</v>
      </c>
      <c r="G566" s="7" t="s">
        <v>1463</v>
      </c>
      <c r="H566" s="95" t="s">
        <v>3289</v>
      </c>
      <c r="I566" s="10"/>
      <c r="J566" s="8">
        <v>125</v>
      </c>
      <c r="K566" s="8">
        <v>2129</v>
      </c>
      <c r="L566" s="11" t="s">
        <v>1464</v>
      </c>
      <c r="M566" s="39" t="s">
        <v>22</v>
      </c>
      <c r="N566" s="43" t="s">
        <v>675</v>
      </c>
      <c r="O566" s="43" t="s">
        <v>879</v>
      </c>
    </row>
    <row r="567" spans="1:15">
      <c r="A567" s="5">
        <v>42854</v>
      </c>
      <c r="B567" s="18" t="s">
        <v>15</v>
      </c>
      <c r="C567" s="23" t="s">
        <v>16</v>
      </c>
      <c r="D567" s="21" t="s">
        <v>1457</v>
      </c>
      <c r="E567" s="67" t="s">
        <v>1458</v>
      </c>
      <c r="F567" s="85" t="str">
        <f>HYPERLINK("https://drive.google.com/file/d/1Yu-uY7TJRNv3iU6gkfL1iees8bILRk1-/view?usp=drivesdk","https://drive.google.com/file/d/1Yu-uY7TJRNv3iU6gkfL1iees8bILRk1-/view?usp=drivesdk")</f>
        <v>https://drive.google.com/file/d/1Yu-uY7TJRNv3iU6gkfL1iees8bILRk1-/view?usp=drivesdk</v>
      </c>
      <c r="G567" s="21" t="s">
        <v>1457</v>
      </c>
      <c r="H567" s="95" t="s">
        <v>3265</v>
      </c>
      <c r="I567" s="40"/>
      <c r="J567" s="41">
        <v>69</v>
      </c>
      <c r="K567" s="41">
        <v>1474</v>
      </c>
      <c r="L567" s="54">
        <v>0.20624999999999999</v>
      </c>
      <c r="M567" s="49" t="s">
        <v>22</v>
      </c>
      <c r="N567" s="48" t="s">
        <v>675</v>
      </c>
      <c r="O567" s="43" t="s">
        <v>879</v>
      </c>
    </row>
    <row r="568" spans="1:15" ht="67.5" customHeight="1">
      <c r="A568" s="5">
        <v>42813</v>
      </c>
      <c r="B568" s="18" t="s">
        <v>15</v>
      </c>
      <c r="C568" s="23" t="s">
        <v>16</v>
      </c>
      <c r="D568" s="7" t="s">
        <v>1454</v>
      </c>
      <c r="E568" s="68" t="s">
        <v>1455</v>
      </c>
      <c r="F568" s="85" t="str">
        <f>HYPERLINK("https://drive.google.com/file/d/1Wbm9FYGfmS3PDzmG8Ej9m6dij48sYIpA/view?usp=drivesdk","https://drive.google.com/file/d/1Wbm9FYGfmS3PDzmG8Ej9m6dij48sYIpA/view?usp=drivesdk")</f>
        <v>https://drive.google.com/file/d/1Wbm9FYGfmS3PDzmG8Ej9m6dij48sYIpA/view?usp=drivesdk</v>
      </c>
      <c r="G568" s="7" t="s">
        <v>1456</v>
      </c>
      <c r="H568" s="73" t="s">
        <v>3225</v>
      </c>
      <c r="I568" s="10"/>
      <c r="J568" s="8">
        <v>71</v>
      </c>
      <c r="K568" s="8">
        <v>1285</v>
      </c>
      <c r="L568" s="54">
        <v>0.22638888888888889</v>
      </c>
      <c r="M568" s="39" t="s">
        <v>22</v>
      </c>
      <c r="N568" s="43" t="s">
        <v>675</v>
      </c>
      <c r="O568" s="43" t="s">
        <v>879</v>
      </c>
    </row>
    <row r="569" spans="1:15" ht="14.25" customHeight="1">
      <c r="A569" s="5">
        <v>42812</v>
      </c>
      <c r="B569" s="18" t="s">
        <v>15</v>
      </c>
      <c r="C569" s="23" t="s">
        <v>16</v>
      </c>
      <c r="D569" s="7" t="s">
        <v>32</v>
      </c>
      <c r="E569" s="67" t="s">
        <v>1452</v>
      </c>
      <c r="F569" s="85" t="str">
        <f>HYPERLINK("https://drive.google.com/file/d/125VC0XRlqfaWctsgqELzM9-vODu8BDfv/view?usp=drivesdk","https://drive.google.com/file/d/125VC0XRlqfaWctsgqELzM9-vODu8BDfv/view?usp=drivesdk")</f>
        <v>https://drive.google.com/file/d/125VC0XRlqfaWctsgqELzM9-vODu8BDfv/view?usp=drivesdk</v>
      </c>
      <c r="G569" s="7" t="s">
        <v>1453</v>
      </c>
      <c r="H569" s="73" t="s">
        <v>222</v>
      </c>
      <c r="I569" s="10"/>
      <c r="J569" s="8">
        <v>32</v>
      </c>
      <c r="K569" s="8">
        <v>122</v>
      </c>
      <c r="L569" s="11">
        <v>0.14097222222222219</v>
      </c>
      <c r="M569" s="39" t="s">
        <v>330</v>
      </c>
      <c r="N569" s="43" t="s">
        <v>331</v>
      </c>
      <c r="O569" s="43" t="s">
        <v>332</v>
      </c>
    </row>
    <row r="570" spans="1:15">
      <c r="A570" s="5">
        <v>42770</v>
      </c>
      <c r="B570" s="18" t="s">
        <v>15</v>
      </c>
      <c r="C570" s="23" t="s">
        <v>223</v>
      </c>
      <c r="D570" s="7" t="s">
        <v>1449</v>
      </c>
      <c r="E570" s="67" t="s">
        <v>1450</v>
      </c>
      <c r="F570" s="85" t="str">
        <f>HYPERLINK("https://drive.google.com/file/d/1Gv2_F63pRYEQK-uXWx5vGLKPpwJlrfnb/view?usp=drivesdk","https://drive.google.com/file/d/1Gv2_F63pRYEQK-uXWx5vGLKPpwJlrfnb/view?usp=drivesdk")</f>
        <v>https://drive.google.com/file/d/1Gv2_F63pRYEQK-uXWx5vGLKPpwJlrfnb/view?usp=drivesdk</v>
      </c>
      <c r="G570" s="7" t="s">
        <v>1451</v>
      </c>
      <c r="H570" s="73" t="s">
        <v>3225</v>
      </c>
      <c r="I570" s="10"/>
      <c r="J570" s="8">
        <v>28</v>
      </c>
      <c r="K570" s="8">
        <v>431</v>
      </c>
      <c r="L570" s="11">
        <v>0.1027777777777778</v>
      </c>
      <c r="M570" s="39" t="s">
        <v>720</v>
      </c>
      <c r="N570" s="43" t="s">
        <v>23</v>
      </c>
      <c r="O570" s="43" t="s">
        <v>802</v>
      </c>
    </row>
    <row r="571" spans="1:15" ht="81">
      <c r="A571" s="5">
        <v>42764</v>
      </c>
      <c r="B571" s="18" t="s">
        <v>15</v>
      </c>
      <c r="C571" s="23" t="s">
        <v>16</v>
      </c>
      <c r="D571" s="7" t="s">
        <v>1446</v>
      </c>
      <c r="E571" s="67" t="s">
        <v>1447</v>
      </c>
      <c r="F571" s="85" t="str">
        <f>HYPERLINK("https://drive.google.com/file/d/1lyOGlehdXH41bfRn9OLzsOXR1uXkPNOF/view?usp=drivesdk","https://drive.google.com/file/d/1lyOGlehdXH41bfRn9OLzsOXR1uXkPNOF/view?usp=drivesdk")</f>
        <v>https://drive.google.com/file/d/1lyOGlehdXH41bfRn9OLzsOXR1uXkPNOF/view?usp=drivesdk</v>
      </c>
      <c r="G571" s="7" t="s">
        <v>1448</v>
      </c>
      <c r="H571" s="73" t="s">
        <v>3213</v>
      </c>
      <c r="I571" s="10"/>
      <c r="J571" s="8">
        <v>60</v>
      </c>
      <c r="K571" s="8">
        <v>452</v>
      </c>
      <c r="L571" s="11">
        <v>0.25069444444444439</v>
      </c>
      <c r="M571" s="39" t="s">
        <v>22</v>
      </c>
      <c r="N571" s="43" t="s">
        <v>675</v>
      </c>
      <c r="O571" s="43" t="s">
        <v>879</v>
      </c>
    </row>
    <row r="572" spans="1:15" ht="27" customHeight="1">
      <c r="A572" s="5">
        <v>42763</v>
      </c>
      <c r="B572" s="18" t="s">
        <v>15</v>
      </c>
      <c r="C572" s="23" t="s">
        <v>16</v>
      </c>
      <c r="D572" s="7" t="s">
        <v>32</v>
      </c>
      <c r="E572" s="67" t="s">
        <v>1445</v>
      </c>
      <c r="F572" s="85" t="str">
        <f>HYPERLINK("https://drive.google.com/file/d/1bXskjus8vi3pjBLLNKl66d7zo9pF50AW/view?usp=drivesdk","https://drive.google.com/file/d/1bXskjus8vi3pjBLLNKl66d7zo9pF50AW/view?usp=drivesdk")</f>
        <v>https://drive.google.com/file/d/1bXskjus8vi3pjBLLNKl66d7zo9pF50AW/view?usp=drivesdk</v>
      </c>
      <c r="G572" s="7" t="s">
        <v>820</v>
      </c>
      <c r="H572" s="73" t="s">
        <v>222</v>
      </c>
      <c r="I572" s="10"/>
      <c r="J572" s="8">
        <v>15</v>
      </c>
      <c r="K572" s="8">
        <v>58</v>
      </c>
      <c r="L572" s="11">
        <v>6.458333333333334E-2</v>
      </c>
      <c r="M572" s="49" t="s">
        <v>330</v>
      </c>
      <c r="N572" s="48" t="s">
        <v>331</v>
      </c>
      <c r="O572" s="48" t="s">
        <v>332</v>
      </c>
    </row>
    <row r="573" spans="1:15">
      <c r="A573" s="5">
        <v>42757</v>
      </c>
      <c r="B573" s="18" t="s">
        <v>15</v>
      </c>
      <c r="C573" s="23" t="s">
        <v>16</v>
      </c>
      <c r="D573" s="7" t="s">
        <v>730</v>
      </c>
      <c r="E573" s="67" t="s">
        <v>1444</v>
      </c>
      <c r="F573" s="85" t="str">
        <f>HYPERLINK("https://drive.google.com/file/d/1ugKAo9yKLJWPuop9ke2mMvTvgtkd9JDw/view?usp=drivesdk","https://drive.google.com/file/d/1ugKAo9yKLJWPuop9ke2mMvTvgtkd9JDw/view?usp=drivesdk")</f>
        <v>https://drive.google.com/file/d/1ugKAo9yKLJWPuop9ke2mMvTvgtkd9JDw/view?usp=drivesdk</v>
      </c>
      <c r="G573" s="7" t="s">
        <v>727</v>
      </c>
      <c r="H573" s="95" t="s">
        <v>3209</v>
      </c>
      <c r="I573" s="10"/>
      <c r="J573" s="8">
        <v>20</v>
      </c>
      <c r="K573" s="8">
        <v>119</v>
      </c>
      <c r="L573" s="11">
        <v>0.1083333333333333</v>
      </c>
      <c r="M573" s="39" t="s">
        <v>330</v>
      </c>
      <c r="N573" s="43" t="s">
        <v>331</v>
      </c>
      <c r="O573" s="43" t="s">
        <v>332</v>
      </c>
    </row>
    <row r="574" spans="1:15" ht="81" customHeight="1">
      <c r="A574" s="5">
        <v>42756</v>
      </c>
      <c r="B574" s="18" t="s">
        <v>15</v>
      </c>
      <c r="C574" s="23" t="s">
        <v>223</v>
      </c>
      <c r="D574" s="7" t="s">
        <v>1441</v>
      </c>
      <c r="E574" s="67" t="s">
        <v>1442</v>
      </c>
      <c r="F574" s="85" t="str">
        <f>HYPERLINK("https://drive.google.com/file/d/1KEPMooySrrR4HxLOIKPAuVp3MIJhulqE/view?usp=drivesdk","https://drive.google.com/file/d/1KEPMooySrrR4HxLOIKPAuVp3MIJhulqE/view?usp=drivesdk")</f>
        <v>https://drive.google.com/file/d/1KEPMooySrrR4HxLOIKPAuVp3MIJhulqE/view?usp=drivesdk</v>
      </c>
      <c r="G574" s="7" t="s">
        <v>1443</v>
      </c>
      <c r="H574" s="95" t="s">
        <v>3213</v>
      </c>
      <c r="I574" s="10"/>
      <c r="J574" s="8">
        <v>60</v>
      </c>
      <c r="K574" s="8">
        <v>915</v>
      </c>
      <c r="L574" s="11">
        <v>0.2208333333333333</v>
      </c>
      <c r="M574" s="39" t="s">
        <v>22</v>
      </c>
      <c r="N574" s="43" t="s">
        <v>615</v>
      </c>
      <c r="O574" s="48" t="s">
        <v>1277</v>
      </c>
    </row>
    <row r="575" spans="1:15" ht="27">
      <c r="A575" s="5">
        <v>42750</v>
      </c>
      <c r="B575" s="18" t="s">
        <v>15</v>
      </c>
      <c r="C575" s="23" t="s">
        <v>16</v>
      </c>
      <c r="D575" s="7" t="s">
        <v>1438</v>
      </c>
      <c r="E575" s="67" t="s">
        <v>1439</v>
      </c>
      <c r="F575" s="85" t="str">
        <f>HYPERLINK("https://drive.google.com/file/d/1QQyl05Gie3p5_Tvr34ACOkziuT17ZF84/view?usp=drivesdk","https://drive.google.com/file/d/1QQyl05Gie3p5_Tvr34ACOkziuT17ZF84/view?usp=drivesdk")</f>
        <v>https://drive.google.com/file/d/1QQyl05Gie3p5_Tvr34ACOkziuT17ZF84/view?usp=drivesdk</v>
      </c>
      <c r="G575" s="7" t="s">
        <v>1440</v>
      </c>
      <c r="H575" s="95" t="s">
        <v>3215</v>
      </c>
      <c r="I575" s="10"/>
      <c r="J575" s="8">
        <v>40</v>
      </c>
      <c r="K575" s="8">
        <v>986</v>
      </c>
      <c r="L575" s="54">
        <v>0.1791666666666667</v>
      </c>
      <c r="M575" s="39" t="s">
        <v>19</v>
      </c>
      <c r="N575" s="43" t="s">
        <v>615</v>
      </c>
      <c r="O575" s="43" t="s">
        <v>1028</v>
      </c>
    </row>
    <row r="576" spans="1:15">
      <c r="A576" s="5">
        <v>42749</v>
      </c>
      <c r="B576" s="18" t="s">
        <v>15</v>
      </c>
      <c r="C576" s="23" t="s">
        <v>223</v>
      </c>
      <c r="D576" s="7" t="s">
        <v>1435</v>
      </c>
      <c r="E576" s="67" t="s">
        <v>1436</v>
      </c>
      <c r="F576" s="85" t="str">
        <f>HYPERLINK("https://drive.google.com/file/d/1F9zSAel8rvMshcsGyFOii_YL8b6eqyEA/view?usp=drivesdk","https://drive.google.com/file/d/1F9zSAel8rvMshcsGyFOii_YL8b6eqyEA/view?usp=drivesdk")</f>
        <v>https://drive.google.com/file/d/1F9zSAel8rvMshcsGyFOii_YL8b6eqyEA/view?usp=drivesdk</v>
      </c>
      <c r="G576" s="7" t="s">
        <v>1437</v>
      </c>
      <c r="H576" s="95" t="s">
        <v>3233</v>
      </c>
      <c r="I576" s="10"/>
      <c r="J576" s="8">
        <v>16</v>
      </c>
      <c r="K576" s="8">
        <v>307</v>
      </c>
      <c r="L576" s="54">
        <v>0.1027777777777778</v>
      </c>
      <c r="M576" s="39" t="s">
        <v>720</v>
      </c>
      <c r="N576" s="43" t="s">
        <v>23</v>
      </c>
      <c r="O576" s="43" t="s">
        <v>802</v>
      </c>
    </row>
    <row r="577" spans="1:15" ht="40.5" customHeight="1">
      <c r="A577" s="5">
        <v>42739</v>
      </c>
      <c r="B577" s="18" t="s">
        <v>15</v>
      </c>
      <c r="C577" s="23" t="s">
        <v>16</v>
      </c>
      <c r="D577" s="7" t="s">
        <v>1432</v>
      </c>
      <c r="E577" s="67" t="s">
        <v>1433</v>
      </c>
      <c r="F577" s="85" t="str">
        <f>HYPERLINK("https://drive.google.com/file/d/1TTzYlYOI-OruX66VICyumczmea9F_TNL/view?usp=drivesdk","https://drive.google.com/file/d/1TTzYlYOI-OruX66VICyumczmea9F_TNL/view?usp=drivesdk")</f>
        <v>https://drive.google.com/file/d/1TTzYlYOI-OruX66VICyumczmea9F_TNL/view?usp=drivesdk</v>
      </c>
      <c r="G577" s="7" t="s">
        <v>1434</v>
      </c>
      <c r="H577" s="95" t="s">
        <v>3215</v>
      </c>
      <c r="I577" s="10"/>
      <c r="J577" s="8">
        <v>42</v>
      </c>
      <c r="K577" s="8">
        <v>158</v>
      </c>
      <c r="L577" s="54">
        <v>0.22430555555555559</v>
      </c>
      <c r="M577" s="39" t="s">
        <v>330</v>
      </c>
      <c r="N577" s="43" t="s">
        <v>331</v>
      </c>
      <c r="O577" s="43" t="s">
        <v>332</v>
      </c>
    </row>
    <row r="578" spans="1:15">
      <c r="A578" s="5">
        <v>42738</v>
      </c>
      <c r="B578" s="18" t="s">
        <v>15</v>
      </c>
      <c r="C578" s="23" t="s">
        <v>16</v>
      </c>
      <c r="D578" s="7" t="s">
        <v>17</v>
      </c>
      <c r="E578" s="67" t="s">
        <v>1431</v>
      </c>
      <c r="F578" s="85" t="str">
        <f>HYPERLINK("https://drive.google.com/file/d/1WZk1jNEaRYIxfjtkaB8O3ugqd0lymd4d/view?usp=drivesdk","https://drive.google.com/file/d/1WZk1jNEaRYIxfjtkaB8O3ugqd0lymd4d/view?usp=drivesdk")</f>
        <v>https://drive.google.com/file/d/1WZk1jNEaRYIxfjtkaB8O3ugqd0lymd4d/view?usp=drivesdk</v>
      </c>
      <c r="G578" s="7" t="s">
        <v>18</v>
      </c>
      <c r="H578" s="95" t="s">
        <v>3198</v>
      </c>
      <c r="I578" s="10"/>
      <c r="J578" s="8">
        <v>36</v>
      </c>
      <c r="K578" s="8">
        <v>181</v>
      </c>
      <c r="L578" s="54">
        <v>0.1083333333333333</v>
      </c>
      <c r="M578" s="39" t="s">
        <v>22</v>
      </c>
      <c r="N578" s="43" t="s">
        <v>615</v>
      </c>
      <c r="O578" s="48" t="s">
        <v>1277</v>
      </c>
    </row>
    <row r="579" spans="1:15">
      <c r="A579" s="5">
        <v>42729</v>
      </c>
      <c r="B579" s="18" t="s">
        <v>15</v>
      </c>
      <c r="C579" s="23" t="s">
        <v>16</v>
      </c>
      <c r="D579" s="21" t="s">
        <v>637</v>
      </c>
      <c r="E579" s="67" t="s">
        <v>1429</v>
      </c>
      <c r="F579" s="85" t="str">
        <f>HYPERLINK("https://drive.google.com/file/d/1jU1Nf0yRKyJQ7athYt-MnV8r7HrAFHR2/view?usp=drivesdk","https://drive.google.com/file/d/1jU1Nf0yRKyJQ7athYt-MnV8r7HrAFHR2/view?usp=drivesdk")</f>
        <v>https://drive.google.com/file/d/1jU1Nf0yRKyJQ7athYt-MnV8r7HrAFHR2/view?usp=drivesdk</v>
      </c>
      <c r="G579" s="7" t="s">
        <v>1430</v>
      </c>
      <c r="H579" s="95" t="s">
        <v>3193</v>
      </c>
      <c r="I579" s="15" t="s">
        <v>404</v>
      </c>
      <c r="J579" s="41">
        <v>31</v>
      </c>
      <c r="K579" s="41">
        <v>186</v>
      </c>
      <c r="L579" s="54">
        <v>0.15694444444444439</v>
      </c>
      <c r="M579" s="39" t="s">
        <v>102</v>
      </c>
      <c r="N579" s="43" t="s">
        <v>194</v>
      </c>
      <c r="O579" s="43" t="s">
        <v>195</v>
      </c>
    </row>
    <row r="580" spans="1:15">
      <c r="A580" s="5">
        <v>42722</v>
      </c>
      <c r="B580" s="18" t="s">
        <v>15</v>
      </c>
      <c r="C580" s="23" t="s">
        <v>16</v>
      </c>
      <c r="D580" s="21" t="s">
        <v>32</v>
      </c>
      <c r="E580" s="67" t="s">
        <v>1427</v>
      </c>
      <c r="F580" s="85" t="str">
        <f>HYPERLINK("https://drive.google.com/file/d/1SELgc00bFHYX3yuNS1XIk7NrkMJd3Soo/view?usp=drivesdk","https://drive.google.com/file/d/1SELgc00bFHYX3yuNS1XIk7NrkMJd3Soo/view?usp=drivesdk")</f>
        <v>https://drive.google.com/file/d/1SELgc00bFHYX3yuNS1XIk7NrkMJd3Soo/view?usp=drivesdk</v>
      </c>
      <c r="G580" s="7" t="s">
        <v>1428</v>
      </c>
      <c r="H580" s="73" t="s">
        <v>222</v>
      </c>
      <c r="I580" s="40"/>
      <c r="J580" s="41">
        <v>97</v>
      </c>
      <c r="K580" s="41">
        <v>367</v>
      </c>
      <c r="L580" s="46">
        <v>0.26250000000000001</v>
      </c>
      <c r="M580" s="49" t="s">
        <v>22</v>
      </c>
      <c r="N580" s="48" t="s">
        <v>675</v>
      </c>
      <c r="O580" s="43" t="s">
        <v>879</v>
      </c>
    </row>
    <row r="581" spans="1:15" ht="27" customHeight="1">
      <c r="A581" s="5">
        <v>42715</v>
      </c>
      <c r="B581" s="18" t="s">
        <v>15</v>
      </c>
      <c r="C581" s="23" t="s">
        <v>16</v>
      </c>
      <c r="D581" s="21" t="s">
        <v>32</v>
      </c>
      <c r="E581" s="67" t="s">
        <v>1425</v>
      </c>
      <c r="F581" s="85" t="str">
        <f>HYPERLINK("https://drive.google.com/file/d/1zn-grratN_VXdKqEOTZgsGvfPb6TkdJz/view?usp=drivesdk","https://drive.google.com/file/d/1zn-grratN_VXdKqEOTZgsGvfPb6TkdJz/view?usp=drivesdk")</f>
        <v>https://drive.google.com/file/d/1zn-grratN_VXdKqEOTZgsGvfPb6TkdJz/view?usp=drivesdk</v>
      </c>
      <c r="G581" s="51" t="s">
        <v>1426</v>
      </c>
      <c r="H581" s="73" t="s">
        <v>222</v>
      </c>
      <c r="I581" s="40"/>
      <c r="J581" s="41">
        <v>30</v>
      </c>
      <c r="K581" s="41">
        <v>159</v>
      </c>
      <c r="L581" s="46">
        <v>0.1958333333333333</v>
      </c>
      <c r="M581" s="49" t="s">
        <v>330</v>
      </c>
      <c r="N581" s="48" t="s">
        <v>331</v>
      </c>
      <c r="O581" s="48" t="s">
        <v>332</v>
      </c>
    </row>
    <row r="582" spans="1:15" ht="27" customHeight="1">
      <c r="A582" s="5">
        <v>42697</v>
      </c>
      <c r="B582" s="18" t="s">
        <v>15</v>
      </c>
      <c r="C582" s="23" t="s">
        <v>16</v>
      </c>
      <c r="D582" s="21" t="s">
        <v>1422</v>
      </c>
      <c r="E582" s="67" t="s">
        <v>1423</v>
      </c>
      <c r="F582" s="85" t="str">
        <f>HYPERLINK("https://drive.google.com/file/d/1cb2QiCx7fsrUNrqxmq2X3iYhdMt_Db1u/view?usp=drivesdk","https://drive.google.com/file/d/1cb2QiCx7fsrUNrqxmq2X3iYhdMt_Db1u/view?usp=drivesdk")</f>
        <v>https://drive.google.com/file/d/1cb2QiCx7fsrUNrqxmq2X3iYhdMt_Db1u/view?usp=drivesdk</v>
      </c>
      <c r="G582" s="21" t="s">
        <v>1424</v>
      </c>
      <c r="H582" s="95" t="s">
        <v>3212</v>
      </c>
      <c r="I582" s="40"/>
      <c r="J582" s="41">
        <v>52</v>
      </c>
      <c r="K582" s="41">
        <v>1309</v>
      </c>
      <c r="L582" s="54">
        <v>0.16597222222222219</v>
      </c>
      <c r="M582" s="49" t="s">
        <v>22</v>
      </c>
      <c r="N582" s="48" t="s">
        <v>675</v>
      </c>
      <c r="O582" s="43" t="s">
        <v>879</v>
      </c>
    </row>
    <row r="583" spans="1:15" ht="27" customHeight="1">
      <c r="A583" s="5">
        <v>42694</v>
      </c>
      <c r="B583" s="18" t="s">
        <v>15</v>
      </c>
      <c r="C583" s="23" t="s">
        <v>16</v>
      </c>
      <c r="D583" s="7" t="s">
        <v>1420</v>
      </c>
      <c r="E583" s="67" t="s">
        <v>1421</v>
      </c>
      <c r="F583" s="85" t="str">
        <f>HYPERLINK("https://drive.google.com/file/d/1Blelx8aXTvD8b4cEqCT-Uh0cqBoxNoCl/view?usp=drivesdk","https://drive.google.com/file/d/1Blelx8aXTvD8b4cEqCT-Uh0cqBoxNoCl/view?usp=drivesdk")</f>
        <v>https://drive.google.com/file/d/1Blelx8aXTvD8b4cEqCT-Uh0cqBoxNoCl/view?usp=drivesdk</v>
      </c>
      <c r="G583" s="51" t="s">
        <v>1420</v>
      </c>
      <c r="H583" s="73" t="s">
        <v>3209</v>
      </c>
      <c r="I583" s="40"/>
      <c r="J583" s="41">
        <v>46</v>
      </c>
      <c r="K583" s="41">
        <v>211</v>
      </c>
      <c r="L583" s="46">
        <v>0.16041666666666671</v>
      </c>
      <c r="M583" s="49" t="s">
        <v>22</v>
      </c>
      <c r="N583" s="48" t="s">
        <v>615</v>
      </c>
      <c r="O583" s="48" t="s">
        <v>1277</v>
      </c>
    </row>
    <row r="584" spans="1:15">
      <c r="A584" s="5">
        <v>42693</v>
      </c>
      <c r="B584" s="18" t="s">
        <v>15</v>
      </c>
      <c r="C584" s="23" t="s">
        <v>16</v>
      </c>
      <c r="D584" s="7" t="s">
        <v>208</v>
      </c>
      <c r="E584" s="67" t="s">
        <v>1419</v>
      </c>
      <c r="F584" s="85" t="str">
        <f>HYPERLINK("https://drive.google.com/file/d/1ujRHrqRUFSqaAb43yRw6SGjn7YGPDwkq/view?usp=drivesdk","https://drive.google.com/file/d/1ujRHrqRUFSqaAb43yRw6SGjn7YGPDwkq/view?usp=drivesdk")</f>
        <v>https://drive.google.com/file/d/1ujRHrqRUFSqaAb43yRw6SGjn7YGPDwkq/view?usp=drivesdk</v>
      </c>
      <c r="G584" s="7" t="s">
        <v>119</v>
      </c>
      <c r="H584" s="73" t="s">
        <v>222</v>
      </c>
      <c r="I584" s="15" t="s">
        <v>404</v>
      </c>
      <c r="J584" s="41">
        <v>25</v>
      </c>
      <c r="K584" s="41">
        <v>70</v>
      </c>
      <c r="L584" s="54">
        <v>0.1076388888888889</v>
      </c>
      <c r="M584" s="49" t="s">
        <v>22</v>
      </c>
      <c r="N584" s="48" t="s">
        <v>615</v>
      </c>
      <c r="O584" s="48" t="s">
        <v>1277</v>
      </c>
    </row>
    <row r="585" spans="1:15">
      <c r="A585" s="5">
        <v>42687</v>
      </c>
      <c r="B585" s="18" t="s">
        <v>15</v>
      </c>
      <c r="C585" s="23" t="s">
        <v>16</v>
      </c>
      <c r="D585" s="7" t="s">
        <v>1415</v>
      </c>
      <c r="E585" s="67" t="s">
        <v>1416</v>
      </c>
      <c r="F585" s="85" t="str">
        <f>HYPERLINK("https://drive.google.com/file/d/1mWb-ymfSVfCNFyBlizuTSfUr2iABH5Kx/view?usp=drivesdk","https://drive.google.com/file/d/1mWb-ymfSVfCNFyBlizuTSfUr2iABH5Kx/view?usp=drivesdk")</f>
        <v>https://drive.google.com/file/d/1mWb-ymfSVfCNFyBlizuTSfUr2iABH5Kx/view?usp=drivesdk</v>
      </c>
      <c r="G585" s="7" t="s">
        <v>1415</v>
      </c>
      <c r="H585" s="95" t="s">
        <v>3221</v>
      </c>
      <c r="I585" s="15"/>
      <c r="J585" s="41">
        <v>20</v>
      </c>
      <c r="K585" s="41">
        <v>128</v>
      </c>
      <c r="L585" s="54">
        <v>6.9444444444444448E-2</v>
      </c>
      <c r="M585" s="49" t="s">
        <v>330</v>
      </c>
      <c r="N585" s="48" t="s">
        <v>331</v>
      </c>
      <c r="O585" s="48" t="s">
        <v>332</v>
      </c>
    </row>
    <row r="586" spans="1:15" ht="54" customHeight="1">
      <c r="A586" s="5">
        <v>42687</v>
      </c>
      <c r="B586" s="18" t="s">
        <v>15</v>
      </c>
      <c r="C586" s="23" t="s">
        <v>16</v>
      </c>
      <c r="D586" s="21" t="s">
        <v>32</v>
      </c>
      <c r="E586" s="67" t="s">
        <v>1417</v>
      </c>
      <c r="F586" s="85" t="str">
        <f>HYPERLINK("https://drive.google.com/file/d/1XUwATGzeZgD5poWbw_cppRgsuvo9WCiA/view?usp=drivesdk","https://drive.google.com/file/d/1XUwATGzeZgD5poWbw_cppRgsuvo9WCiA/view?usp=drivesdk")</f>
        <v>https://drive.google.com/file/d/1XUwATGzeZgD5poWbw_cppRgsuvo9WCiA/view?usp=drivesdk</v>
      </c>
      <c r="G586" s="7" t="s">
        <v>1418</v>
      </c>
      <c r="H586" s="73" t="s">
        <v>222</v>
      </c>
      <c r="I586" s="15" t="s">
        <v>404</v>
      </c>
      <c r="J586" s="41">
        <v>33</v>
      </c>
      <c r="K586" s="41">
        <v>316</v>
      </c>
      <c r="L586" s="54">
        <v>0.1215277777777778</v>
      </c>
      <c r="M586" s="39" t="s">
        <v>102</v>
      </c>
      <c r="N586" s="43" t="s">
        <v>194</v>
      </c>
      <c r="O586" s="43" t="s">
        <v>195</v>
      </c>
    </row>
    <row r="587" spans="1:15" ht="27" customHeight="1">
      <c r="A587" s="5">
        <v>42686</v>
      </c>
      <c r="B587" s="18" t="s">
        <v>15</v>
      </c>
      <c r="C587" s="23" t="s">
        <v>223</v>
      </c>
      <c r="D587" s="7" t="s">
        <v>1412</v>
      </c>
      <c r="E587" s="67" t="s">
        <v>1413</v>
      </c>
      <c r="F587" s="85" t="str">
        <f>HYPERLINK("https://drive.google.com/file/d/1xcGcqCWIilKkvBxrz3GwjOdU-1TGQ7P3/view?usp=drivesdk","https://drive.google.com/file/d/1xcGcqCWIilKkvBxrz3GwjOdU-1TGQ7P3/view?usp=drivesdk")</f>
        <v>https://drive.google.com/file/d/1xcGcqCWIilKkvBxrz3GwjOdU-1TGQ7P3/view?usp=drivesdk</v>
      </c>
      <c r="G587" s="7" t="s">
        <v>1414</v>
      </c>
      <c r="H587" s="95" t="s">
        <v>3212</v>
      </c>
      <c r="I587" s="15" t="s">
        <v>404</v>
      </c>
      <c r="J587" s="8">
        <v>56</v>
      </c>
      <c r="K587" s="8">
        <v>521</v>
      </c>
      <c r="L587" s="54">
        <v>0.29097222222222219</v>
      </c>
      <c r="M587" s="39" t="s">
        <v>720</v>
      </c>
      <c r="N587" s="43" t="s">
        <v>23</v>
      </c>
      <c r="O587" s="43" t="s">
        <v>802</v>
      </c>
    </row>
    <row r="588" spans="1:15">
      <c r="A588" s="5">
        <v>42677</v>
      </c>
      <c r="B588" s="18" t="s">
        <v>15</v>
      </c>
      <c r="C588" s="23" t="s">
        <v>16</v>
      </c>
      <c r="D588" s="7" t="s">
        <v>1410</v>
      </c>
      <c r="E588" s="67" t="s">
        <v>1411</v>
      </c>
      <c r="F588" s="85" t="str">
        <f>HYPERLINK("https://drive.google.com/file/d/1VEvkaAEYnfR_Q5uQTyRckC3mgO7pIDn7/view?usp=drivesdk","https://drive.google.com/file/d/1VEvkaAEYnfR_Q5uQTyRckC3mgO7pIDn7/view?usp=drivesdk")</f>
        <v>https://drive.google.com/file/d/1VEvkaAEYnfR_Q5uQTyRckC3mgO7pIDn7/view?usp=drivesdk</v>
      </c>
      <c r="G588" s="7"/>
      <c r="H588" s="95" t="s">
        <v>3212</v>
      </c>
      <c r="I588" s="15" t="s">
        <v>404</v>
      </c>
      <c r="J588" s="8">
        <v>74</v>
      </c>
      <c r="K588" s="8">
        <v>2594</v>
      </c>
      <c r="L588" s="11">
        <v>0.29375000000000001</v>
      </c>
      <c r="M588" s="39" t="s">
        <v>22</v>
      </c>
      <c r="N588" s="43" t="s">
        <v>675</v>
      </c>
      <c r="O588" s="43" t="s">
        <v>879</v>
      </c>
    </row>
    <row r="589" spans="1:15" ht="27" customHeight="1">
      <c r="A589" s="5">
        <v>42673</v>
      </c>
      <c r="B589" s="18" t="s">
        <v>15</v>
      </c>
      <c r="C589" s="16" t="s">
        <v>223</v>
      </c>
      <c r="D589" s="7" t="s">
        <v>1407</v>
      </c>
      <c r="E589" s="67" t="s">
        <v>1408</v>
      </c>
      <c r="F589" s="85" t="str">
        <f>HYPERLINK("https://drive.google.com/file/d/1wAK88XL285tMh2xN1dMVUmE2jxLxCyyj/view?usp=drivesdk","https://drive.google.com/file/d/1wAK88XL285tMh2xN1dMVUmE2jxLxCyyj/view?usp=drivesdk")</f>
        <v>https://drive.google.com/file/d/1wAK88XL285tMh2xN1dMVUmE2jxLxCyyj/view?usp=drivesdk</v>
      </c>
      <c r="G589" s="58" t="s">
        <v>1409</v>
      </c>
      <c r="H589" s="95" t="s">
        <v>3224</v>
      </c>
      <c r="I589" s="10"/>
      <c r="J589" s="59">
        <v>31</v>
      </c>
      <c r="K589" s="59">
        <v>1003</v>
      </c>
      <c r="L589" s="60">
        <v>0.12013888888888891</v>
      </c>
      <c r="M589" s="39" t="s">
        <v>720</v>
      </c>
      <c r="N589" s="43" t="s">
        <v>23</v>
      </c>
      <c r="O589" s="43" t="s">
        <v>802</v>
      </c>
    </row>
    <row r="590" spans="1:15" ht="54" customHeight="1">
      <c r="A590" s="5">
        <v>42666</v>
      </c>
      <c r="B590" s="18" t="s">
        <v>15</v>
      </c>
      <c r="C590" s="23" t="s">
        <v>16</v>
      </c>
      <c r="D590" s="7" t="s">
        <v>32</v>
      </c>
      <c r="E590" s="67" t="s">
        <v>1406</v>
      </c>
      <c r="F590" s="85" t="str">
        <f>HYPERLINK("https://drive.google.com/file/d/1ZkixoGjcn0VZxafqgs7dn0d6n3OGyzm5/view?usp=drivesdk","https://drive.google.com/file/d/1ZkixoGjcn0VZxafqgs7dn0d6n3OGyzm5/view?usp=drivesdk")</f>
        <v>https://drive.google.com/file/d/1ZkixoGjcn0VZxafqgs7dn0d6n3OGyzm5/view?usp=drivesdk</v>
      </c>
      <c r="G590" s="7" t="s">
        <v>245</v>
      </c>
      <c r="H590" s="73" t="s">
        <v>222</v>
      </c>
      <c r="I590" s="10"/>
      <c r="J590" s="8">
        <v>18</v>
      </c>
      <c r="K590" s="8">
        <v>106</v>
      </c>
      <c r="L590" s="54">
        <v>7.8472222222222221E-2</v>
      </c>
      <c r="M590" s="39" t="s">
        <v>330</v>
      </c>
      <c r="N590" s="43" t="s">
        <v>331</v>
      </c>
      <c r="O590" s="43" t="s">
        <v>332</v>
      </c>
    </row>
    <row r="591" spans="1:15">
      <c r="A591" s="5">
        <v>42652</v>
      </c>
      <c r="B591" s="18" t="s">
        <v>15</v>
      </c>
      <c r="C591" s="23" t="s">
        <v>16</v>
      </c>
      <c r="D591" s="7" t="s">
        <v>1402</v>
      </c>
      <c r="E591" s="67" t="s">
        <v>1405</v>
      </c>
      <c r="F591" s="85" t="str">
        <f>HYPERLINK("https://drive.google.com/file/d/12M1w9csv4tn5P5955672aMUVpDCA5xKz/view?usp=drivesdk","https://drive.google.com/file/d/12M1w9csv4tn5P5955672aMUVpDCA5xKz/view?usp=drivesdk")</f>
        <v>https://drive.google.com/file/d/12M1w9csv4tn5P5955672aMUVpDCA5xKz/view?usp=drivesdk</v>
      </c>
      <c r="G591" s="7" t="s">
        <v>1404</v>
      </c>
      <c r="H591" s="95" t="s">
        <v>3287</v>
      </c>
      <c r="I591" s="10"/>
      <c r="J591" s="8">
        <v>12</v>
      </c>
      <c r="K591" s="8">
        <v>77</v>
      </c>
      <c r="L591" s="54">
        <v>3.6805555555555557E-2</v>
      </c>
      <c r="M591" s="39" t="s">
        <v>330</v>
      </c>
      <c r="N591" s="43" t="s">
        <v>331</v>
      </c>
      <c r="O591" s="43" t="s">
        <v>332</v>
      </c>
    </row>
    <row r="592" spans="1:15">
      <c r="A592" s="5">
        <v>42651</v>
      </c>
      <c r="B592" s="18" t="s">
        <v>15</v>
      </c>
      <c r="C592" s="23" t="s">
        <v>16</v>
      </c>
      <c r="D592" s="7" t="s">
        <v>1402</v>
      </c>
      <c r="E592" s="67" t="s">
        <v>1403</v>
      </c>
      <c r="F592" s="85" t="str">
        <f>HYPERLINK("https://drive.google.com/file/d/1zAAMOk3PdbpQlwCXpEw0AS1nET-kulDr/view?usp=drivesdk","https://drive.google.com/file/d/1zAAMOk3PdbpQlwCXpEw0AS1nET-kulDr/view?usp=drivesdk")</f>
        <v>https://drive.google.com/file/d/1zAAMOk3PdbpQlwCXpEw0AS1nET-kulDr/view?usp=drivesdk</v>
      </c>
      <c r="G592" s="7" t="s">
        <v>1404</v>
      </c>
      <c r="H592" s="95" t="s">
        <v>3287</v>
      </c>
      <c r="I592" s="10"/>
      <c r="J592" s="8">
        <v>7</v>
      </c>
      <c r="K592" s="8"/>
      <c r="L592" s="11">
        <v>7.6388888888888886E-3</v>
      </c>
      <c r="M592" s="39" t="s">
        <v>330</v>
      </c>
      <c r="N592" s="43" t="s">
        <v>331</v>
      </c>
      <c r="O592" s="43" t="s">
        <v>332</v>
      </c>
    </row>
    <row r="593" spans="1:15">
      <c r="A593" s="5">
        <v>42638</v>
      </c>
      <c r="B593" s="18" t="s">
        <v>15</v>
      </c>
      <c r="C593" s="23" t="s">
        <v>16</v>
      </c>
      <c r="D593" s="7" t="s">
        <v>1399</v>
      </c>
      <c r="E593" s="67" t="s">
        <v>1400</v>
      </c>
      <c r="F593" s="85" t="str">
        <f>HYPERLINK("https://drive.google.com/file/d/1ZBweSEawgffcdIvczuybI7iXX10hthr9/view?usp=drivesdk","https://drive.google.com/file/d/1ZBweSEawgffcdIvczuybI7iXX10hthr9/view?usp=drivesdk")</f>
        <v>https://drive.google.com/file/d/1ZBweSEawgffcdIvczuybI7iXX10hthr9/view?usp=drivesdk</v>
      </c>
      <c r="G593" s="7" t="s">
        <v>1401</v>
      </c>
      <c r="H593" s="95" t="s">
        <v>3286</v>
      </c>
      <c r="I593" s="10"/>
      <c r="J593" s="8">
        <v>150</v>
      </c>
      <c r="K593" s="8">
        <v>1772</v>
      </c>
      <c r="L593" s="54">
        <v>0.3840277777777778</v>
      </c>
      <c r="M593" s="39" t="s">
        <v>22</v>
      </c>
      <c r="N593" s="43" t="s">
        <v>675</v>
      </c>
      <c r="O593" s="43" t="s">
        <v>879</v>
      </c>
    </row>
    <row r="594" spans="1:15" ht="40.5">
      <c r="A594" s="5">
        <v>42630</v>
      </c>
      <c r="B594" s="18" t="s">
        <v>15</v>
      </c>
      <c r="C594" s="23" t="s">
        <v>16</v>
      </c>
      <c r="D594" s="7" t="s">
        <v>1396</v>
      </c>
      <c r="E594" s="67" t="s">
        <v>1397</v>
      </c>
      <c r="F594" s="85" t="str">
        <f>HYPERLINK("https://drive.google.com/file/d/1OkNjQcrNAKGbjxbJGUKA_1f3v7wlXf0q/view?usp=drivesdk","https://drive.google.com/file/d/1OkNjQcrNAKGbjxbJGUKA_1f3v7wlXf0q/view?usp=drivesdk")</f>
        <v>https://drive.google.com/file/d/1OkNjQcrNAKGbjxbJGUKA_1f3v7wlXf0q/view?usp=drivesdk</v>
      </c>
      <c r="G594" s="7" t="s">
        <v>1398</v>
      </c>
      <c r="H594" s="95" t="s">
        <v>3234</v>
      </c>
      <c r="I594" s="10"/>
      <c r="J594" s="8">
        <v>114</v>
      </c>
      <c r="K594" s="8">
        <v>1782</v>
      </c>
      <c r="L594" s="54">
        <v>0.3</v>
      </c>
      <c r="M594" s="39" t="s">
        <v>22</v>
      </c>
      <c r="N594" s="43" t="s">
        <v>675</v>
      </c>
      <c r="O594" s="43" t="s">
        <v>879</v>
      </c>
    </row>
    <row r="595" spans="1:15" ht="54" customHeight="1">
      <c r="A595" s="5">
        <v>42624</v>
      </c>
      <c r="B595" s="18" t="s">
        <v>15</v>
      </c>
      <c r="C595" s="23" t="s">
        <v>16</v>
      </c>
      <c r="D595" s="7" t="s">
        <v>1393</v>
      </c>
      <c r="E595" s="67" t="s">
        <v>1394</v>
      </c>
      <c r="F595" s="85" t="str">
        <f>HYPERLINK("https://drive.google.com/file/d/1YYCf-ne-R5wi-LbNF0zQFXROi27sxUoR/view?usp=drivesdk","https://drive.google.com/file/d/1YYCf-ne-R5wi-LbNF0zQFXROi27sxUoR/view?usp=drivesdk")</f>
        <v>https://drive.google.com/file/d/1YYCf-ne-R5wi-LbNF0zQFXROi27sxUoR/view?usp=drivesdk</v>
      </c>
      <c r="G595" s="7" t="s">
        <v>1395</v>
      </c>
      <c r="H595" s="95" t="s">
        <v>3215</v>
      </c>
      <c r="I595" s="10"/>
      <c r="J595" s="8">
        <v>18</v>
      </c>
      <c r="K595" s="8">
        <v>25</v>
      </c>
      <c r="L595" s="54">
        <v>8.6805555555555552E-2</v>
      </c>
      <c r="M595" s="39" t="s">
        <v>102</v>
      </c>
      <c r="N595" s="43" t="s">
        <v>194</v>
      </c>
      <c r="O595" s="43" t="s">
        <v>195</v>
      </c>
    </row>
    <row r="596" spans="1:15" ht="40.5" customHeight="1">
      <c r="A596" s="5">
        <v>42616</v>
      </c>
      <c r="B596" s="18" t="s">
        <v>15</v>
      </c>
      <c r="C596" s="23" t="s">
        <v>16</v>
      </c>
      <c r="D596" s="7" t="s">
        <v>1390</v>
      </c>
      <c r="E596" s="67" t="s">
        <v>1391</v>
      </c>
      <c r="F596" s="85" t="str">
        <f>HYPERLINK("https://drive.google.com/file/d/1a_NrHaUo_lW0MlceD-ZHahlW3Q7ZKdCS/view?usp=drivesdk","https://drive.google.com/file/d/1a_NrHaUo_lW0MlceD-ZHahlW3Q7ZKdCS/view?usp=drivesdk")</f>
        <v>https://drive.google.com/file/d/1a_NrHaUo_lW0MlceD-ZHahlW3Q7ZKdCS/view?usp=drivesdk</v>
      </c>
      <c r="G596" s="7" t="s">
        <v>1392</v>
      </c>
      <c r="H596" s="95" t="s">
        <v>3286</v>
      </c>
      <c r="I596" s="10"/>
      <c r="J596" s="8">
        <v>145</v>
      </c>
      <c r="K596" s="8">
        <v>2877</v>
      </c>
      <c r="L596" s="11">
        <v>0.3888888888888889</v>
      </c>
      <c r="M596" s="39" t="s">
        <v>22</v>
      </c>
      <c r="N596" s="43" t="s">
        <v>675</v>
      </c>
      <c r="O596" s="43" t="s">
        <v>676</v>
      </c>
    </row>
    <row r="597" spans="1:15" ht="54">
      <c r="A597" s="5">
        <v>42610</v>
      </c>
      <c r="B597" s="18" t="s">
        <v>15</v>
      </c>
      <c r="C597" s="23" t="s">
        <v>16</v>
      </c>
      <c r="D597" s="7" t="s">
        <v>1387</v>
      </c>
      <c r="E597" s="67" t="s">
        <v>1388</v>
      </c>
      <c r="F597" s="85" t="str">
        <f>HYPERLINK("https://drive.google.com/file/d/1kUM9O6GzCektNOJ2zF3mfdYUmvTlnafC/view?usp=drivesdk","https://drive.google.com/file/d/1kUM9O6GzCektNOJ2zF3mfdYUmvTlnafC/view?usp=drivesdk")</f>
        <v>https://drive.google.com/file/d/1kUM9O6GzCektNOJ2zF3mfdYUmvTlnafC/view?usp=drivesdk</v>
      </c>
      <c r="G597" s="7" t="s">
        <v>1389</v>
      </c>
      <c r="H597" s="95" t="s">
        <v>3225</v>
      </c>
      <c r="I597" s="10"/>
      <c r="J597" s="8">
        <v>25</v>
      </c>
      <c r="K597" s="8">
        <v>145</v>
      </c>
      <c r="L597" s="54">
        <v>0.13055555555555559</v>
      </c>
      <c r="M597" s="39" t="s">
        <v>330</v>
      </c>
      <c r="N597" s="43" t="s">
        <v>331</v>
      </c>
      <c r="O597" s="43" t="s">
        <v>332</v>
      </c>
    </row>
    <row r="598" spans="1:15" ht="14.25">
      <c r="A598" s="5">
        <v>42603</v>
      </c>
      <c r="B598" s="18" t="s">
        <v>15</v>
      </c>
      <c r="C598" s="23" t="s">
        <v>16</v>
      </c>
      <c r="D598" s="21" t="s">
        <v>32</v>
      </c>
      <c r="E598" s="67" t="s">
        <v>1385</v>
      </c>
      <c r="F598" s="85" t="str">
        <f>HYPERLINK("https://drive.google.com/file/d/1aUqIgyY16E1TJFbFRkkCAWDKH7acPBPe/view?usp=drivesdk","https://drive.google.com/file/d/1aUqIgyY16E1TJFbFRkkCAWDKH7acPBPe/view?usp=drivesdk")</f>
        <v>https://drive.google.com/file/d/1aUqIgyY16E1TJFbFRkkCAWDKH7acPBPe/view?usp=drivesdk</v>
      </c>
      <c r="G598" s="52" t="s">
        <v>1386</v>
      </c>
      <c r="H598" s="73" t="s">
        <v>222</v>
      </c>
      <c r="I598" s="52"/>
      <c r="J598" s="41">
        <v>12</v>
      </c>
      <c r="K598" s="41">
        <v>39</v>
      </c>
      <c r="L598" s="54">
        <v>6.3194444444444442E-2</v>
      </c>
      <c r="M598" s="39" t="s">
        <v>330</v>
      </c>
      <c r="N598" s="43" t="s">
        <v>331</v>
      </c>
      <c r="O598" s="43" t="s">
        <v>332</v>
      </c>
    </row>
    <row r="599" spans="1:15" ht="54">
      <c r="A599" s="5">
        <v>42595</v>
      </c>
      <c r="B599" s="18" t="s">
        <v>15</v>
      </c>
      <c r="C599" s="23" t="s">
        <v>223</v>
      </c>
      <c r="D599" s="7" t="s">
        <v>1382</v>
      </c>
      <c r="E599" s="67" t="s">
        <v>1383</v>
      </c>
      <c r="F599" s="85" t="str">
        <f>HYPERLINK("https://drive.google.com/file/d/1LFz6D1tqG7FdvFRZsQNM_1oDzMmDp2KU/view?usp=drivesdk","https://drive.google.com/file/d/1LFz6D1tqG7FdvFRZsQNM_1oDzMmDp2KU/view?usp=drivesdk")</f>
        <v>https://drive.google.com/file/d/1LFz6D1tqG7FdvFRZsQNM_1oDzMmDp2KU/view?usp=drivesdk</v>
      </c>
      <c r="G599" s="7" t="s">
        <v>1384</v>
      </c>
      <c r="H599" s="95" t="s">
        <v>3285</v>
      </c>
      <c r="I599" s="10"/>
      <c r="J599" s="8">
        <v>127</v>
      </c>
      <c r="K599" s="8">
        <v>2643</v>
      </c>
      <c r="L599" s="54">
        <v>0.42152777777777778</v>
      </c>
      <c r="M599" s="39" t="s">
        <v>22</v>
      </c>
      <c r="N599" s="43" t="s">
        <v>675</v>
      </c>
      <c r="O599" s="43" t="s">
        <v>879</v>
      </c>
    </row>
    <row r="600" spans="1:15" ht="54">
      <c r="A600" s="5">
        <v>42582</v>
      </c>
      <c r="B600" s="18" t="s">
        <v>15</v>
      </c>
      <c r="C600" s="23" t="s">
        <v>16</v>
      </c>
      <c r="D600" s="7" t="s">
        <v>1379</v>
      </c>
      <c r="E600" s="67" t="s">
        <v>1380</v>
      </c>
      <c r="F600" s="85" t="str">
        <f>HYPERLINK("https://drive.google.com/file/d/1da5L8n5AVl5zo-rFg-diswaLO3yxFuzE/view?usp=drivesdk","https://drive.google.com/file/d/1da5L8n5AVl5zo-rFg-diswaLO3yxFuzE/view?usp=drivesdk")</f>
        <v>https://drive.google.com/file/d/1da5L8n5AVl5zo-rFg-diswaLO3yxFuzE/view?usp=drivesdk</v>
      </c>
      <c r="G600" s="7" t="s">
        <v>1381</v>
      </c>
      <c r="H600" s="95" t="s">
        <v>3212</v>
      </c>
      <c r="I600" s="10"/>
      <c r="J600" s="8">
        <v>101</v>
      </c>
      <c r="K600" s="8">
        <v>2253</v>
      </c>
      <c r="L600" s="54">
        <v>0.34583333333333333</v>
      </c>
      <c r="M600" s="39" t="s">
        <v>22</v>
      </c>
      <c r="N600" s="43" t="s">
        <v>675</v>
      </c>
      <c r="O600" s="43" t="s">
        <v>879</v>
      </c>
    </row>
    <row r="601" spans="1:15" ht="40.5">
      <c r="A601" s="5">
        <v>42575</v>
      </c>
      <c r="B601" s="18" t="s">
        <v>15</v>
      </c>
      <c r="C601" s="23" t="s">
        <v>16</v>
      </c>
      <c r="D601" s="7" t="s">
        <v>1376</v>
      </c>
      <c r="E601" s="68" t="s">
        <v>1377</v>
      </c>
      <c r="F601" s="85" t="str">
        <f>HYPERLINK("https://drive.google.com/file/d/1bPOYYl5aoYT7v7wXEHNJevZ_FWBqmezb/view?usp=drivesdk","https://drive.google.com/file/d/1bPOYYl5aoYT7v7wXEHNJevZ_FWBqmezb/view?usp=drivesdk")</f>
        <v>https://drive.google.com/file/d/1bPOYYl5aoYT7v7wXEHNJevZ_FWBqmezb/view?usp=drivesdk</v>
      </c>
      <c r="G601" s="7" t="s">
        <v>1378</v>
      </c>
      <c r="H601" s="95" t="s">
        <v>3225</v>
      </c>
      <c r="I601" s="10"/>
      <c r="J601" s="8">
        <v>52</v>
      </c>
      <c r="K601" s="8">
        <v>251</v>
      </c>
      <c r="L601" s="54">
        <v>0.16319444444444439</v>
      </c>
      <c r="M601" s="39" t="s">
        <v>22</v>
      </c>
      <c r="N601" s="43" t="s">
        <v>615</v>
      </c>
      <c r="O601" s="43" t="s">
        <v>1277</v>
      </c>
    </row>
    <row r="602" spans="1:15" ht="81">
      <c r="A602" s="5">
        <v>42569</v>
      </c>
      <c r="B602" s="18" t="s">
        <v>15</v>
      </c>
      <c r="C602" s="23" t="s">
        <v>16</v>
      </c>
      <c r="D602" s="7" t="s">
        <v>1373</v>
      </c>
      <c r="E602" s="67" t="s">
        <v>1374</v>
      </c>
      <c r="F602" s="85" t="str">
        <f>HYPERLINK("https://drive.google.com/file/d/1R1oFWv_30MpiAoJPdz1270b8VHsSYhqB/view?usp=drivesdk","https://drive.google.com/file/d/1R1oFWv_30MpiAoJPdz1270b8VHsSYhqB/view?usp=drivesdk")</f>
        <v>https://drive.google.com/file/d/1R1oFWv_30MpiAoJPdz1270b8VHsSYhqB/view?usp=drivesdk</v>
      </c>
      <c r="G602" s="7" t="s">
        <v>1375</v>
      </c>
      <c r="H602" s="95" t="s">
        <v>3225</v>
      </c>
      <c r="I602" s="10"/>
      <c r="J602" s="8">
        <v>83</v>
      </c>
      <c r="K602" s="8">
        <v>620</v>
      </c>
      <c r="L602" s="54">
        <v>0.31319444444444439</v>
      </c>
      <c r="M602" s="39" t="s">
        <v>330</v>
      </c>
      <c r="N602" s="43" t="s">
        <v>331</v>
      </c>
      <c r="O602" s="43" t="s">
        <v>332</v>
      </c>
    </row>
    <row r="603" spans="1:15" ht="18.75" customHeight="1">
      <c r="A603" s="5">
        <v>42568</v>
      </c>
      <c r="B603" s="18" t="s">
        <v>15</v>
      </c>
      <c r="C603" s="23" t="s">
        <v>16</v>
      </c>
      <c r="D603" s="7" t="s">
        <v>1370</v>
      </c>
      <c r="E603" s="67" t="s">
        <v>1371</v>
      </c>
      <c r="F603" s="85" t="str">
        <f>HYPERLINK("https://drive.google.com/file/d/1pOnRKGSSEc9s-hoRtgnMTtCJk3eIEj9h/view?usp=drivesdk","https://drive.google.com/file/d/1pOnRKGSSEc9s-hoRtgnMTtCJk3eIEj9h/view?usp=drivesdk")</f>
        <v>https://drive.google.com/file/d/1pOnRKGSSEc9s-hoRtgnMTtCJk3eIEj9h/view?usp=drivesdk</v>
      </c>
      <c r="G603" s="7" t="s">
        <v>1372</v>
      </c>
      <c r="H603" s="95" t="s">
        <v>3225</v>
      </c>
      <c r="I603" s="10"/>
      <c r="J603" s="8">
        <v>22</v>
      </c>
      <c r="K603" s="8">
        <v>270</v>
      </c>
      <c r="L603" s="54">
        <v>3.4722222222222217E-2</v>
      </c>
      <c r="M603" s="39" t="s">
        <v>330</v>
      </c>
      <c r="N603" s="43" t="s">
        <v>331</v>
      </c>
      <c r="O603" s="43" t="s">
        <v>332</v>
      </c>
    </row>
    <row r="604" spans="1:15">
      <c r="A604" s="5">
        <v>42561</v>
      </c>
      <c r="B604" s="18" t="s">
        <v>15</v>
      </c>
      <c r="C604" s="23" t="s">
        <v>16</v>
      </c>
      <c r="D604" s="7" t="s">
        <v>32</v>
      </c>
      <c r="E604" s="67" t="s">
        <v>1368</v>
      </c>
      <c r="F604" s="85" t="str">
        <f>HYPERLINK("https://drive.google.com/file/d/1pk5tySqTnAq8GuW9O2QIJLBtXl29QrAf/view?usp=drivesdk","https://drive.google.com/file/d/1pk5tySqTnAq8GuW9O2QIJLBtXl29QrAf/view?usp=drivesdk")</f>
        <v>https://drive.google.com/file/d/1pk5tySqTnAq8GuW9O2QIJLBtXl29QrAf/view?usp=drivesdk</v>
      </c>
      <c r="G604" s="7" t="s">
        <v>1369</v>
      </c>
      <c r="H604" s="73" t="s">
        <v>222</v>
      </c>
      <c r="I604" s="10"/>
      <c r="J604" s="8">
        <v>50</v>
      </c>
      <c r="K604" s="8"/>
      <c r="L604" s="11">
        <v>0.1680555555555556</v>
      </c>
      <c r="M604" s="39" t="s">
        <v>330</v>
      </c>
      <c r="N604" s="43" t="s">
        <v>331</v>
      </c>
      <c r="O604" s="43" t="s">
        <v>332</v>
      </c>
    </row>
    <row r="605" spans="1:15" ht="28.5" customHeight="1">
      <c r="A605" s="5">
        <v>42547</v>
      </c>
      <c r="B605" s="18" t="s">
        <v>15</v>
      </c>
      <c r="C605" s="23" t="s">
        <v>223</v>
      </c>
      <c r="D605" s="7" t="s">
        <v>241</v>
      </c>
      <c r="E605" s="68" t="s">
        <v>1366</v>
      </c>
      <c r="F605" s="85" t="str">
        <f>HYPERLINK("https://drive.google.com/file/d/1fOpdnHyEOvZD94YIwJweNN5gwweD_xPc/view?usp=drivesdk","https://drive.google.com/file/d/1fOpdnHyEOvZD94YIwJweNN5gwweD_xPc/view?usp=drivesdk")</f>
        <v>https://drive.google.com/file/d/1fOpdnHyEOvZD94YIwJweNN5gwweD_xPc/view?usp=drivesdk</v>
      </c>
      <c r="G605" s="7" t="s">
        <v>1367</v>
      </c>
      <c r="H605" s="95" t="s">
        <v>3219</v>
      </c>
      <c r="I605" s="71" t="s">
        <v>244</v>
      </c>
      <c r="J605" s="8">
        <v>108</v>
      </c>
      <c r="K605" s="8">
        <v>2440</v>
      </c>
      <c r="L605" s="54">
        <v>0.39166666666666672</v>
      </c>
      <c r="M605" s="39" t="s">
        <v>19</v>
      </c>
      <c r="N605" s="43" t="s">
        <v>615</v>
      </c>
      <c r="O605" s="43" t="s">
        <v>1028</v>
      </c>
    </row>
    <row r="606" spans="1:15" ht="67.5" customHeight="1">
      <c r="A606" s="5">
        <v>42533</v>
      </c>
      <c r="B606" s="18" t="s">
        <v>15</v>
      </c>
      <c r="C606" s="23" t="s">
        <v>16</v>
      </c>
      <c r="D606" s="7" t="s">
        <v>1363</v>
      </c>
      <c r="E606" s="68" t="s">
        <v>1364</v>
      </c>
      <c r="F606" s="85" t="str">
        <f>HYPERLINK("https://drive.google.com/file/d/11GPfqZXLhWB2U5RXB9CLiFaVkdjTMVOV/view?usp=drivesdk","https://drive.google.com/file/d/11GPfqZXLhWB2U5RXB9CLiFaVkdjTMVOV/view?usp=drivesdk")</f>
        <v>https://drive.google.com/file/d/11GPfqZXLhWB2U5RXB9CLiFaVkdjTMVOV/view?usp=drivesdk</v>
      </c>
      <c r="G606" s="7" t="s">
        <v>1365</v>
      </c>
      <c r="H606" s="95" t="s">
        <v>3193</v>
      </c>
      <c r="I606" s="10"/>
      <c r="J606" s="8">
        <v>10</v>
      </c>
      <c r="K606" s="8">
        <v>56</v>
      </c>
      <c r="L606" s="54">
        <v>3.2638888888888891E-2</v>
      </c>
      <c r="M606" s="39" t="s">
        <v>330</v>
      </c>
      <c r="N606" s="43" t="s">
        <v>331</v>
      </c>
      <c r="O606" s="43" t="s">
        <v>332</v>
      </c>
    </row>
    <row r="607" spans="1:15" ht="54" customHeight="1">
      <c r="A607" s="5">
        <v>42526</v>
      </c>
      <c r="B607" s="18" t="s">
        <v>15</v>
      </c>
      <c r="C607" s="23" t="s">
        <v>16</v>
      </c>
      <c r="D607" s="7" t="s">
        <v>1360</v>
      </c>
      <c r="E607" s="67" t="s">
        <v>1361</v>
      </c>
      <c r="F607" s="85" t="str">
        <f>HYPERLINK("https://drive.google.com/file/d/1TAgqrTRpuS00caXHs-woQzMGp3hyU9NV/view?usp=drivesdk","https://drive.google.com/file/d/1TAgqrTRpuS00caXHs-woQzMGp3hyU9NV/view?usp=drivesdk")</f>
        <v>https://drive.google.com/file/d/1TAgqrTRpuS00caXHs-woQzMGp3hyU9NV/view?usp=drivesdk</v>
      </c>
      <c r="G607" s="7" t="s">
        <v>1362</v>
      </c>
      <c r="H607" s="95" t="s">
        <v>3224</v>
      </c>
      <c r="I607" s="10"/>
      <c r="J607" s="8">
        <v>111</v>
      </c>
      <c r="K607" s="8">
        <v>1631</v>
      </c>
      <c r="L607" s="54">
        <v>0.29583333333333328</v>
      </c>
      <c r="M607" s="39" t="s">
        <v>22</v>
      </c>
      <c r="N607" s="43" t="s">
        <v>675</v>
      </c>
      <c r="O607" s="43" t="s">
        <v>879</v>
      </c>
    </row>
    <row r="608" spans="1:15" ht="54" customHeight="1">
      <c r="A608" s="5">
        <v>42519</v>
      </c>
      <c r="B608" s="18" t="s">
        <v>15</v>
      </c>
      <c r="C608" s="23" t="s">
        <v>16</v>
      </c>
      <c r="D608" s="7" t="s">
        <v>1357</v>
      </c>
      <c r="E608" s="67" t="s">
        <v>1358</v>
      </c>
      <c r="F608" s="85" t="str">
        <f>HYPERLINK("https://drive.google.com/file/d/11GRAMiL76u-O1Gl9nbLsQb-5Fk5zO2j6/view?usp=drivesdk","https://drive.google.com/file/d/11GRAMiL76u-O1Gl9nbLsQb-5Fk5zO2j6/view?usp=drivesdk")</f>
        <v>https://drive.google.com/file/d/11GRAMiL76u-O1Gl9nbLsQb-5Fk5zO2j6/view?usp=drivesdk</v>
      </c>
      <c r="G608" s="7" t="s">
        <v>1359</v>
      </c>
      <c r="H608" s="95" t="s">
        <v>3232</v>
      </c>
      <c r="I608" s="10"/>
      <c r="J608" s="8">
        <v>85</v>
      </c>
      <c r="K608" s="8">
        <v>1750</v>
      </c>
      <c r="L608" s="54">
        <v>0.2638888888888889</v>
      </c>
      <c r="M608" s="39" t="s">
        <v>22</v>
      </c>
      <c r="N608" s="43" t="s">
        <v>675</v>
      </c>
      <c r="O608" s="43" t="s">
        <v>879</v>
      </c>
    </row>
    <row r="609" spans="1:15" ht="40.5" customHeight="1">
      <c r="A609" s="5">
        <v>42512</v>
      </c>
      <c r="B609" s="18" t="s">
        <v>15</v>
      </c>
      <c r="C609" s="23" t="s">
        <v>16</v>
      </c>
      <c r="D609" s="7" t="s">
        <v>1354</v>
      </c>
      <c r="E609" s="68" t="s">
        <v>1355</v>
      </c>
      <c r="F609" s="85" t="str">
        <f>HYPERLINK("https://drive.google.com/file/d/1OzbFXa9uYEIVA2GaNkVpsuZ8-_r0MVV-/view?usp=drivesdk","https://drive.google.com/file/d/1OzbFXa9uYEIVA2GaNkVpsuZ8-_r0MVV-/view?usp=drivesdk")</f>
        <v>https://drive.google.com/file/d/1OzbFXa9uYEIVA2GaNkVpsuZ8-_r0MVV-/view?usp=drivesdk</v>
      </c>
      <c r="G609" s="7" t="s">
        <v>1356</v>
      </c>
      <c r="H609" s="95" t="s">
        <v>3198</v>
      </c>
      <c r="I609" s="10"/>
      <c r="J609" s="8">
        <v>48</v>
      </c>
      <c r="K609" s="8">
        <v>305</v>
      </c>
      <c r="L609" s="54">
        <v>0.1541666666666667</v>
      </c>
      <c r="M609" s="39" t="s">
        <v>102</v>
      </c>
      <c r="N609" s="43" t="s">
        <v>194</v>
      </c>
      <c r="O609" s="43" t="s">
        <v>195</v>
      </c>
    </row>
    <row r="610" spans="1:15" ht="18.75" customHeight="1">
      <c r="A610" s="5">
        <v>42511</v>
      </c>
      <c r="B610" s="18" t="s">
        <v>15</v>
      </c>
      <c r="C610" s="23" t="s">
        <v>16</v>
      </c>
      <c r="D610" s="7" t="s">
        <v>1351</v>
      </c>
      <c r="E610" s="67" t="s">
        <v>1352</v>
      </c>
      <c r="F610" s="85" t="str">
        <f>HYPERLINK("https://drive.google.com/file/d/1pQfnYSl1pRZYPfOzD60nW09W9zbVuluL/view?usp=drivesdk","https://drive.google.com/file/d/1pQfnYSl1pRZYPfOzD60nW09W9zbVuluL/view?usp=drivesdk")</f>
        <v>https://drive.google.com/file/d/1pQfnYSl1pRZYPfOzD60nW09W9zbVuluL/view?usp=drivesdk</v>
      </c>
      <c r="G610" s="7" t="s">
        <v>1353</v>
      </c>
      <c r="H610" s="95" t="s">
        <v>3215</v>
      </c>
      <c r="I610" s="10"/>
      <c r="J610" s="8">
        <v>113</v>
      </c>
      <c r="K610" s="8">
        <v>3001</v>
      </c>
      <c r="L610" s="54">
        <v>0.34513888888888888</v>
      </c>
      <c r="M610" s="39" t="s">
        <v>22</v>
      </c>
      <c r="N610" s="43" t="s">
        <v>675</v>
      </c>
      <c r="O610" s="43" t="s">
        <v>879</v>
      </c>
    </row>
    <row r="611" spans="1:15" ht="67.5" customHeight="1">
      <c r="A611" s="5">
        <v>42505</v>
      </c>
      <c r="B611" s="18" t="s">
        <v>15</v>
      </c>
      <c r="C611" s="23" t="s">
        <v>16</v>
      </c>
      <c r="D611" s="7" t="s">
        <v>27</v>
      </c>
      <c r="E611" s="67" t="s">
        <v>1350</v>
      </c>
      <c r="F611" s="85" t="str">
        <f>HYPERLINK("https://drive.google.com/file/d/1N4CaXRlnVOAZe45wfX6JIGodRTnQAMJa/view?usp=drivesdk","https://drive.google.com/file/d/1N4CaXRlnVOAZe45wfX6JIGodRTnQAMJa/view?usp=drivesdk")</f>
        <v>https://drive.google.com/file/d/1N4CaXRlnVOAZe45wfX6JIGodRTnQAMJa/view?usp=drivesdk</v>
      </c>
      <c r="G611" s="7" t="s">
        <v>864</v>
      </c>
      <c r="H611" s="95" t="s">
        <v>3208</v>
      </c>
      <c r="I611" s="81" t="s">
        <v>29</v>
      </c>
      <c r="J611" s="8">
        <v>127</v>
      </c>
      <c r="K611" s="8">
        <v>1309</v>
      </c>
      <c r="L611" s="54">
        <v>0.25624999999999998</v>
      </c>
      <c r="M611" s="39" t="s">
        <v>22</v>
      </c>
      <c r="N611" s="43" t="s">
        <v>675</v>
      </c>
      <c r="O611" s="48" t="s">
        <v>676</v>
      </c>
    </row>
    <row r="612" spans="1:15" ht="40.5">
      <c r="A612" s="5">
        <v>42493</v>
      </c>
      <c r="B612" s="6" t="s">
        <v>15</v>
      </c>
      <c r="C612" s="23" t="s">
        <v>16</v>
      </c>
      <c r="D612" s="7" t="s">
        <v>1347</v>
      </c>
      <c r="E612" s="103" t="s">
        <v>1348</v>
      </c>
      <c r="F612" s="85" t="str">
        <f>HYPERLINK("https://drive.google.com/file/d/1n8IHEIaN6ehdNz1oV5b0-IoG_CQ7da-R/view?usp=drivesdk","https://drive.google.com/file/d/1n8IHEIaN6ehdNz1oV5b0-IoG_CQ7da-R/view?usp=drivesdk")</f>
        <v>https://drive.google.com/file/d/1n8IHEIaN6ehdNz1oV5b0-IoG_CQ7da-R/view?usp=drivesdk</v>
      </c>
      <c r="G612" s="7" t="s">
        <v>1349</v>
      </c>
      <c r="H612" s="95" t="s">
        <v>3282</v>
      </c>
      <c r="I612" s="10"/>
      <c r="J612" s="8">
        <v>71</v>
      </c>
      <c r="K612" s="8">
        <v>2190</v>
      </c>
      <c r="L612" s="11" t="s">
        <v>1139</v>
      </c>
      <c r="M612" s="39" t="s">
        <v>720</v>
      </c>
      <c r="N612" s="43" t="s">
        <v>23</v>
      </c>
      <c r="O612" s="43" t="s">
        <v>802</v>
      </c>
    </row>
    <row r="613" spans="1:15" ht="40.5" customHeight="1">
      <c r="A613" s="5">
        <v>42492</v>
      </c>
      <c r="B613" s="18" t="s">
        <v>15</v>
      </c>
      <c r="C613" s="23" t="s">
        <v>16</v>
      </c>
      <c r="D613" s="21" t="s">
        <v>1344</v>
      </c>
      <c r="E613" s="67" t="s">
        <v>1345</v>
      </c>
      <c r="F613" s="85" t="str">
        <f>HYPERLINK("https://drive.google.com/file/d/1tPU3-cm9Ui5OqkQLcz_XvJ0DODHNelPm/view?usp=drivesdk","https://drive.google.com/file/d/1tPU3-cm9Ui5OqkQLcz_XvJ0DODHNelPm/view?usp=drivesdk")</f>
        <v>https://drive.google.com/file/d/1tPU3-cm9Ui5OqkQLcz_XvJ0DODHNelPm/view?usp=drivesdk</v>
      </c>
      <c r="G613" s="7" t="s">
        <v>1346</v>
      </c>
      <c r="H613" s="95" t="s">
        <v>3283</v>
      </c>
      <c r="I613" s="40"/>
      <c r="J613" s="41">
        <v>48</v>
      </c>
      <c r="K613" s="41">
        <v>1208</v>
      </c>
      <c r="L613" s="46">
        <v>0.16388888888888889</v>
      </c>
      <c r="M613" s="39" t="s">
        <v>22</v>
      </c>
      <c r="N613" s="48" t="s">
        <v>675</v>
      </c>
      <c r="O613" s="48" t="s">
        <v>676</v>
      </c>
    </row>
    <row r="614" spans="1:15" ht="27" customHeight="1">
      <c r="A614" s="5">
        <v>42491</v>
      </c>
      <c r="B614" s="18" t="s">
        <v>15</v>
      </c>
      <c r="C614" s="23" t="s">
        <v>16</v>
      </c>
      <c r="D614" s="7" t="s">
        <v>1341</v>
      </c>
      <c r="E614" s="67" t="s">
        <v>1342</v>
      </c>
      <c r="F614" s="85" t="str">
        <f>HYPERLINK("https://drive.google.com/file/d/1iQynqEQWvMK35T9Vp_RiZDwmH75buLd-/view?usp=drivesdk","https://drive.google.com/file/d/1iQynqEQWvMK35T9Vp_RiZDwmH75buLd-/view?usp=drivesdk")</f>
        <v>https://drive.google.com/file/d/1iQynqEQWvMK35T9Vp_RiZDwmH75buLd-/view?usp=drivesdk</v>
      </c>
      <c r="G614" s="7" t="s">
        <v>1343</v>
      </c>
      <c r="H614" s="95" t="s">
        <v>3281</v>
      </c>
      <c r="I614" s="10"/>
      <c r="J614" s="8">
        <v>87</v>
      </c>
      <c r="K614" s="8">
        <v>1344</v>
      </c>
      <c r="L614" s="54">
        <v>0.24236111111111111</v>
      </c>
      <c r="M614" s="39" t="s">
        <v>22</v>
      </c>
      <c r="N614" s="43" t="s">
        <v>675</v>
      </c>
      <c r="O614" s="43" t="s">
        <v>879</v>
      </c>
    </row>
    <row r="615" spans="1:15" ht="27" customHeight="1">
      <c r="A615" s="5">
        <v>42490</v>
      </c>
      <c r="B615" s="6" t="s">
        <v>246</v>
      </c>
      <c r="C615" s="23" t="s">
        <v>1336</v>
      </c>
      <c r="D615" s="7" t="s">
        <v>1337</v>
      </c>
      <c r="E615" s="103" t="s">
        <v>1338</v>
      </c>
      <c r="F615" s="85" t="str">
        <f>HYPERLINK("https://drive.google.com/file/d/1fPprrwduoTBVrKoLZohESgtuVGmMOQcH/view?usp=drivesdk","https://drive.google.com/file/d/1fPprrwduoTBVrKoLZohESgtuVGmMOQcH/view?usp=drivesdk")</f>
        <v>https://drive.google.com/file/d/1fPprrwduoTBVrKoLZohESgtuVGmMOQcH/view?usp=drivesdk</v>
      </c>
      <c r="G615" s="7" t="s">
        <v>1339</v>
      </c>
      <c r="H615" s="95" t="s">
        <v>3284</v>
      </c>
      <c r="I615" s="10"/>
      <c r="J615" s="8">
        <v>103</v>
      </c>
      <c r="K615" s="8">
        <v>3200</v>
      </c>
      <c r="L615" s="11" t="s">
        <v>1340</v>
      </c>
      <c r="M615" s="39" t="s">
        <v>22</v>
      </c>
      <c r="N615" s="43" t="s">
        <v>675</v>
      </c>
      <c r="O615" s="43" t="s">
        <v>879</v>
      </c>
    </row>
    <row r="616" spans="1:15" ht="40.5" customHeight="1">
      <c r="A616" s="5">
        <v>42476</v>
      </c>
      <c r="B616" s="18" t="s">
        <v>15</v>
      </c>
      <c r="C616" s="35" t="s">
        <v>16</v>
      </c>
      <c r="D616" s="7" t="s">
        <v>1334</v>
      </c>
      <c r="E616" s="105"/>
      <c r="F616" s="85" t="str">
        <f>HYPERLINK("https://drive.google.com/file/d/1JYN3PMKBG9WMQeDwE2wsgrIAPcPpaK3N/view?usp=drivesdk","https://drive.google.com/file/d/1JYN3PMKBG9WMQeDwE2wsgrIAPcPpaK3N/view?usp=drivesdk")</f>
        <v>https://drive.google.com/file/d/1JYN3PMKBG9WMQeDwE2wsgrIAPcPpaK3N/view?usp=drivesdk</v>
      </c>
      <c r="G616" s="7" t="s">
        <v>1335</v>
      </c>
      <c r="H616" s="73" t="s">
        <v>222</v>
      </c>
      <c r="I616" s="10"/>
      <c r="J616" s="8">
        <v>42</v>
      </c>
      <c r="K616" s="8"/>
      <c r="L616" s="11"/>
      <c r="M616" s="39" t="s">
        <v>22</v>
      </c>
      <c r="N616" s="43" t="s">
        <v>615</v>
      </c>
      <c r="O616" s="48" t="s">
        <v>1277</v>
      </c>
    </row>
    <row r="617" spans="1:15" ht="18.75">
      <c r="A617" s="5">
        <v>42470</v>
      </c>
      <c r="B617" s="18" t="s">
        <v>15</v>
      </c>
      <c r="C617" s="35" t="s">
        <v>16</v>
      </c>
      <c r="D617" s="7" t="s">
        <v>27</v>
      </c>
      <c r="E617" s="67" t="s">
        <v>1332</v>
      </c>
      <c r="F617" s="85" t="str">
        <f>HYPERLINK("https://drive.google.com/file/d/1MryrKtZOQxGV3ZvFOufjEuNsoImX5vuo/view?usp=drivesdk","https://drive.google.com/file/d/1MryrKtZOQxGV3ZvFOufjEuNsoImX5vuo/view?usp=drivesdk")</f>
        <v>https://drive.google.com/file/d/1MryrKtZOQxGV3ZvFOufjEuNsoImX5vuo/view?usp=drivesdk</v>
      </c>
      <c r="G617" s="7" t="s">
        <v>864</v>
      </c>
      <c r="H617" s="95" t="s">
        <v>3208</v>
      </c>
      <c r="I617" s="81" t="s">
        <v>29</v>
      </c>
      <c r="J617" s="8">
        <v>126</v>
      </c>
      <c r="K617" s="8">
        <v>1298</v>
      </c>
      <c r="L617" s="54">
        <v>0.25624999999999998</v>
      </c>
      <c r="M617" s="39" t="s">
        <v>22</v>
      </c>
      <c r="N617" s="43" t="s">
        <v>675</v>
      </c>
      <c r="O617" s="43" t="s">
        <v>879</v>
      </c>
    </row>
    <row r="618" spans="1:15" ht="27" customHeight="1">
      <c r="A618" s="5">
        <v>42470</v>
      </c>
      <c r="B618" s="18" t="s">
        <v>15</v>
      </c>
      <c r="C618" s="35" t="s">
        <v>16</v>
      </c>
      <c r="D618" s="7" t="s">
        <v>32</v>
      </c>
      <c r="E618" s="67" t="s">
        <v>1333</v>
      </c>
      <c r="F618" s="85" t="str">
        <f>HYPERLINK("https://drive.google.com/file/d/1woxdp1-FOMN6O6_rJD8RMvAPYuPJJqRY/view?usp=drivesdk","https://drive.google.com/file/d/1woxdp1-FOMN6O6_rJD8RMvAPYuPJJqRY/view?usp=drivesdk")</f>
        <v>https://drive.google.com/file/d/1woxdp1-FOMN6O6_rJD8RMvAPYuPJJqRY/view?usp=drivesdk</v>
      </c>
      <c r="G618" s="21" t="s">
        <v>820</v>
      </c>
      <c r="H618" s="73" t="s">
        <v>222</v>
      </c>
      <c r="I618" s="40"/>
      <c r="J618" s="41">
        <v>58</v>
      </c>
      <c r="K618" s="41">
        <v>186</v>
      </c>
      <c r="L618" s="54">
        <v>0.1652777777777778</v>
      </c>
      <c r="M618" s="39" t="s">
        <v>22</v>
      </c>
      <c r="N618" s="43" t="s">
        <v>615</v>
      </c>
      <c r="O618" s="48" t="s">
        <v>1277</v>
      </c>
    </row>
    <row r="619" spans="1:15" ht="81" customHeight="1">
      <c r="A619" s="5">
        <v>42463</v>
      </c>
      <c r="B619" s="18" t="s">
        <v>15</v>
      </c>
      <c r="C619" s="35" t="s">
        <v>16</v>
      </c>
      <c r="D619" s="7" t="s">
        <v>208</v>
      </c>
      <c r="E619" s="67" t="s">
        <v>1331</v>
      </c>
      <c r="F619" s="85" t="str">
        <f>HYPERLINK("https://drive.google.com/file/d/1olJqqwTFgIxKqG9FRzbdP3EdUrl04OYi/view?usp=drivesdk","https://drive.google.com/file/d/1olJqqwTFgIxKqG9FRzbdP3EdUrl04OYi/view?usp=drivesdk")</f>
        <v>https://drive.google.com/file/d/1olJqqwTFgIxKqG9FRzbdP3EdUrl04OYi/view?usp=drivesdk</v>
      </c>
      <c r="G619" s="7" t="s">
        <v>37</v>
      </c>
      <c r="H619" s="73" t="s">
        <v>222</v>
      </c>
      <c r="I619" s="24" t="s">
        <v>40</v>
      </c>
      <c r="J619" s="8">
        <v>72</v>
      </c>
      <c r="K619" s="8">
        <v>249</v>
      </c>
      <c r="L619" s="54">
        <v>0.20277777777777781</v>
      </c>
      <c r="M619" s="39" t="s">
        <v>102</v>
      </c>
      <c r="N619" s="43" t="s">
        <v>194</v>
      </c>
      <c r="O619" s="43" t="s">
        <v>195</v>
      </c>
    </row>
    <row r="620" spans="1:15" ht="40.5" customHeight="1">
      <c r="A620" s="5">
        <v>42460</v>
      </c>
      <c r="B620" s="18" t="s">
        <v>15</v>
      </c>
      <c r="C620" s="35" t="s">
        <v>16</v>
      </c>
      <c r="D620" s="7" t="s">
        <v>32</v>
      </c>
      <c r="E620" s="105"/>
      <c r="F620" s="85" t="str">
        <f>HYPERLINK("https://drive.google.com/file/d/1BGsXUP-uyFeFI3YIFjFlMoXSZHfXzOVe/view?usp=drivesdk","https://drive.google.com/file/d/1BGsXUP-uyFeFI3YIFjFlMoXSZHfXzOVe/view?usp=drivesdk")</f>
        <v>https://drive.google.com/file/d/1BGsXUP-uyFeFI3YIFjFlMoXSZHfXzOVe/view?usp=drivesdk</v>
      </c>
      <c r="G620" s="7" t="s">
        <v>1330</v>
      </c>
      <c r="H620" s="73" t="s">
        <v>222</v>
      </c>
      <c r="I620" s="24" t="s">
        <v>40</v>
      </c>
      <c r="J620" s="8">
        <v>93</v>
      </c>
      <c r="K620" s="8"/>
      <c r="L620" s="11"/>
      <c r="M620" s="39" t="s">
        <v>22</v>
      </c>
      <c r="N620" s="43" t="s">
        <v>615</v>
      </c>
      <c r="O620" s="48" t="s">
        <v>1277</v>
      </c>
    </row>
    <row r="621" spans="1:15" ht="54" customHeight="1">
      <c r="A621" s="5">
        <v>42450</v>
      </c>
      <c r="B621" s="18" t="s">
        <v>15</v>
      </c>
      <c r="C621" s="35" t="s">
        <v>16</v>
      </c>
      <c r="D621" s="7" t="s">
        <v>1322</v>
      </c>
      <c r="E621" s="67" t="s">
        <v>1329</v>
      </c>
      <c r="F621" s="85" t="str">
        <f>HYPERLINK("https://drive.google.com/file/d/17suS12-Hj38FiygBE2gtylXPJn9j8qY9/view?usp=drivesdk","https://drive.google.com/file/d/17suS12-Hj38FiygBE2gtylXPJn9j8qY9/view?usp=drivesdk")</f>
        <v>https://drive.google.com/file/d/17suS12-Hj38FiygBE2gtylXPJn9j8qY9/view?usp=drivesdk</v>
      </c>
      <c r="G621" s="7"/>
      <c r="H621" s="95" t="s">
        <v>3215</v>
      </c>
      <c r="I621" s="10"/>
      <c r="J621" s="8">
        <v>93</v>
      </c>
      <c r="K621" s="8">
        <v>2400</v>
      </c>
      <c r="L621" s="54">
        <v>0.28472222222222221</v>
      </c>
      <c r="M621" s="39" t="s">
        <v>22</v>
      </c>
      <c r="N621" s="43" t="s">
        <v>23</v>
      </c>
      <c r="O621" s="43" t="s">
        <v>136</v>
      </c>
    </row>
    <row r="622" spans="1:15" ht="54" customHeight="1">
      <c r="A622" s="5">
        <v>42435</v>
      </c>
      <c r="B622" s="18" t="s">
        <v>15</v>
      </c>
      <c r="C622" s="35" t="s">
        <v>16</v>
      </c>
      <c r="D622" s="7" t="s">
        <v>32</v>
      </c>
      <c r="E622" s="67" t="s">
        <v>1327</v>
      </c>
      <c r="F622" s="85" t="str">
        <f>HYPERLINK("https://drive.google.com/file/d/1z7ox9xPRDmQVR-rRSqMzdUFx3c-Q_Lp-/view?usp=drivesdk","https://drive.google.com/file/d/1z7ox9xPRDmQVR-rRSqMzdUFx3c-Q_Lp-/view?usp=drivesdk")</f>
        <v>https://drive.google.com/file/d/1z7ox9xPRDmQVR-rRSqMzdUFx3c-Q_Lp-/view?usp=drivesdk</v>
      </c>
      <c r="G622" s="7" t="s">
        <v>1328</v>
      </c>
      <c r="H622" s="73" t="s">
        <v>222</v>
      </c>
      <c r="I622" s="10"/>
      <c r="J622" s="8">
        <v>15</v>
      </c>
      <c r="K622" s="8">
        <v>57</v>
      </c>
      <c r="L622" s="54">
        <v>6.805555555555555E-2</v>
      </c>
      <c r="M622" s="39" t="s">
        <v>330</v>
      </c>
      <c r="N622" s="43" t="s">
        <v>331</v>
      </c>
      <c r="O622" s="43" t="s">
        <v>332</v>
      </c>
    </row>
    <row r="623" spans="1:15" ht="14.25" customHeight="1">
      <c r="A623" s="5">
        <v>42434</v>
      </c>
      <c r="B623" s="18" t="s">
        <v>15</v>
      </c>
      <c r="C623" s="35" t="s">
        <v>16</v>
      </c>
      <c r="D623" s="7" t="s">
        <v>1322</v>
      </c>
      <c r="E623" s="67" t="s">
        <v>1323</v>
      </c>
      <c r="F623" s="85" t="str">
        <f>HYPERLINK("https://drive.google.com/file/d/1bnmamOydRbnr1jahvq3oU-dJJMj-lJ-x/view?usp=drivesdk","https://drive.google.com/file/d/1bnmamOydRbnr1jahvq3oU-dJJMj-lJ-x/view?usp=drivesdk")</f>
        <v>https://drive.google.com/file/d/1bnmamOydRbnr1jahvq3oU-dJJMj-lJ-x/view?usp=drivesdk</v>
      </c>
      <c r="G623" s="7"/>
      <c r="H623" s="95" t="s">
        <v>3215</v>
      </c>
      <c r="I623" s="10"/>
      <c r="J623" s="8">
        <v>45</v>
      </c>
      <c r="K623" s="8">
        <v>765</v>
      </c>
      <c r="L623" s="54">
        <v>0.1277777777777778</v>
      </c>
      <c r="M623" s="39" t="s">
        <v>22</v>
      </c>
      <c r="N623" s="43" t="s">
        <v>675</v>
      </c>
      <c r="O623" s="43" t="s">
        <v>676</v>
      </c>
    </row>
    <row r="624" spans="1:15" ht="54" customHeight="1">
      <c r="A624" s="5">
        <v>42434</v>
      </c>
      <c r="B624" s="18" t="s">
        <v>15</v>
      </c>
      <c r="C624" s="35" t="s">
        <v>16</v>
      </c>
      <c r="D624" s="7" t="s">
        <v>1324</v>
      </c>
      <c r="E624" s="67" t="s">
        <v>1325</v>
      </c>
      <c r="F624" s="85" t="str">
        <f>HYPERLINK("https://drive.google.com/file/d/1kTwPUDEvgYVi92edEZ_Rf_dEj5abLupR/view?usp=drivesdk","https://drive.google.com/file/d/1kTwPUDEvgYVi92edEZ_Rf_dEj5abLupR/view?usp=drivesdk")</f>
        <v>https://drive.google.com/file/d/1kTwPUDEvgYVi92edEZ_Rf_dEj5abLupR/view?usp=drivesdk</v>
      </c>
      <c r="G624" s="7" t="s">
        <v>1326</v>
      </c>
      <c r="H624" s="95" t="s">
        <v>3215</v>
      </c>
      <c r="I624" s="40"/>
      <c r="J624" s="41">
        <v>39</v>
      </c>
      <c r="K624" s="41">
        <v>885</v>
      </c>
      <c r="L624" s="54">
        <v>0.1083333333333333</v>
      </c>
      <c r="M624" s="39" t="s">
        <v>22</v>
      </c>
      <c r="N624" s="43" t="s">
        <v>675</v>
      </c>
      <c r="O624" s="43" t="s">
        <v>879</v>
      </c>
    </row>
    <row r="625" spans="1:15" ht="54" customHeight="1">
      <c r="A625" s="5">
        <v>42428</v>
      </c>
      <c r="B625" s="18" t="s">
        <v>15</v>
      </c>
      <c r="C625" s="23" t="s">
        <v>16</v>
      </c>
      <c r="D625" s="7" t="s">
        <v>1319</v>
      </c>
      <c r="E625" s="67" t="s">
        <v>1320</v>
      </c>
      <c r="F625" s="85" t="str">
        <f>HYPERLINK("https://drive.google.com/file/d/1oC-umDwNwbUOgDvkul4CzfpJtG6CYmQ3/view?usp=drivesdk","https://drive.google.com/file/d/1oC-umDwNwbUOgDvkul4CzfpJtG6CYmQ3/view?usp=drivesdk")</f>
        <v>https://drive.google.com/file/d/1oC-umDwNwbUOgDvkul4CzfpJtG6CYmQ3/view?usp=drivesdk</v>
      </c>
      <c r="G625" s="7" t="s">
        <v>1321</v>
      </c>
      <c r="H625" s="95" t="s">
        <v>3225</v>
      </c>
      <c r="I625" s="10"/>
      <c r="J625" s="8">
        <v>77</v>
      </c>
      <c r="K625" s="8">
        <v>1817</v>
      </c>
      <c r="L625" s="54">
        <v>0.2298611111111111</v>
      </c>
      <c r="M625" s="39" t="s">
        <v>22</v>
      </c>
      <c r="N625" s="43" t="s">
        <v>675</v>
      </c>
      <c r="O625" s="43" t="s">
        <v>879</v>
      </c>
    </row>
    <row r="626" spans="1:15" ht="40.5" customHeight="1">
      <c r="A626" s="5">
        <v>42427</v>
      </c>
      <c r="B626" s="18" t="s">
        <v>15</v>
      </c>
      <c r="C626" s="23" t="s">
        <v>223</v>
      </c>
      <c r="D626" s="7" t="s">
        <v>1316</v>
      </c>
      <c r="E626" s="67" t="s">
        <v>1317</v>
      </c>
      <c r="F626" s="85" t="str">
        <f>HYPERLINK("https://drive.google.com/file/d/1K4jTnd0egA5Ak-jcwEULwu0VgAo6WBrE/view?usp=drivesdk","https://drive.google.com/file/d/1K4jTnd0egA5Ak-jcwEULwu0VgAo6WBrE/view?usp=drivesdk")</f>
        <v>https://drive.google.com/file/d/1K4jTnd0egA5Ak-jcwEULwu0VgAo6WBrE/view?usp=drivesdk</v>
      </c>
      <c r="G626" s="7" t="s">
        <v>1318</v>
      </c>
      <c r="H626" s="95" t="s">
        <v>3225</v>
      </c>
      <c r="I626" s="10"/>
      <c r="J626" s="8">
        <v>70</v>
      </c>
      <c r="K626" s="8">
        <v>2200</v>
      </c>
      <c r="L626" s="54">
        <v>0.32361111111111113</v>
      </c>
      <c r="M626" s="39" t="s">
        <v>19</v>
      </c>
      <c r="N626" s="43" t="s">
        <v>615</v>
      </c>
      <c r="O626" s="43" t="s">
        <v>1028</v>
      </c>
    </row>
    <row r="627" spans="1:15" ht="40.5" customHeight="1">
      <c r="A627" s="5">
        <v>42421</v>
      </c>
      <c r="B627" s="18" t="s">
        <v>15</v>
      </c>
      <c r="C627" s="35" t="s">
        <v>16</v>
      </c>
      <c r="D627" s="7" t="s">
        <v>948</v>
      </c>
      <c r="E627" s="67" t="s">
        <v>1311</v>
      </c>
      <c r="F627" s="85" t="str">
        <f>HYPERLINK("https://drive.google.com/file/d/1jN6O-bTZqaN283sz1I7doxWF58l9f_bV/view?usp=drivesdk","https://drive.google.com/file/d/1jN6O-bTZqaN283sz1I7doxWF58l9f_bV/view?usp=drivesdk")</f>
        <v>https://drive.google.com/file/d/1jN6O-bTZqaN283sz1I7doxWF58l9f_bV/view?usp=drivesdk</v>
      </c>
      <c r="G627" s="7" t="s">
        <v>1312</v>
      </c>
      <c r="H627" s="95" t="s">
        <v>3193</v>
      </c>
      <c r="I627" s="31" t="s">
        <v>40</v>
      </c>
      <c r="J627" s="8">
        <v>4</v>
      </c>
      <c r="K627" s="8">
        <v>29</v>
      </c>
      <c r="L627" s="11">
        <v>4.3055555555555562E-2</v>
      </c>
      <c r="M627" s="39" t="s">
        <v>330</v>
      </c>
      <c r="N627" s="43" t="s">
        <v>331</v>
      </c>
      <c r="O627" s="43" t="s">
        <v>332</v>
      </c>
    </row>
    <row r="628" spans="1:15">
      <c r="A628" s="5">
        <v>42421</v>
      </c>
      <c r="B628" s="18" t="s">
        <v>15</v>
      </c>
      <c r="C628" s="35" t="s">
        <v>16</v>
      </c>
      <c r="D628" s="7" t="s">
        <v>1313</v>
      </c>
      <c r="E628" s="67" t="s">
        <v>1314</v>
      </c>
      <c r="F628" s="85" t="str">
        <f>HYPERLINK("https://drive.google.com/file/d/1P6r80IrQaHQh8PKgvBxPO_LNJqKVahSH/view?usp=drivesdk","https://drive.google.com/file/d/1P6r80IrQaHQh8PKgvBxPO_LNJqKVahSH/view?usp=drivesdk")</f>
        <v>https://drive.google.com/file/d/1P6r80IrQaHQh8PKgvBxPO_LNJqKVahSH/view?usp=drivesdk</v>
      </c>
      <c r="G628" s="7" t="s">
        <v>1315</v>
      </c>
      <c r="H628" s="95" t="s">
        <v>3193</v>
      </c>
      <c r="I628" s="25" t="s">
        <v>629</v>
      </c>
      <c r="J628" s="41">
        <v>18</v>
      </c>
      <c r="K628" s="41">
        <v>120</v>
      </c>
      <c r="L628" s="46">
        <v>0.1222222222222222</v>
      </c>
      <c r="M628" s="39" t="s">
        <v>330</v>
      </c>
      <c r="N628" s="43" t="s">
        <v>331</v>
      </c>
      <c r="O628" s="43" t="s">
        <v>332</v>
      </c>
    </row>
    <row r="629" spans="1:15">
      <c r="A629" s="5">
        <v>42417</v>
      </c>
      <c r="B629" s="18" t="s">
        <v>15</v>
      </c>
      <c r="C629" s="35" t="s">
        <v>16</v>
      </c>
      <c r="D629" s="7" t="s">
        <v>943</v>
      </c>
      <c r="E629" s="67" t="s">
        <v>1307</v>
      </c>
      <c r="F629" s="85" t="str">
        <f>HYPERLINK("https://drive.google.com/file/d/1zOuTWJWvFeL5BiV6-J3uNUJMCJLbCoZJ/view?usp=drivesdk","https://drive.google.com/file/d/1zOuTWJWvFeL5BiV6-J3uNUJMCJLbCoZJ/view?usp=drivesdk")</f>
        <v>https://drive.google.com/file/d/1zOuTWJWvFeL5BiV6-J3uNUJMCJLbCoZJ/view?usp=drivesdk</v>
      </c>
      <c r="G629" s="7" t="s">
        <v>1308</v>
      </c>
      <c r="H629" s="95" t="s">
        <v>3225</v>
      </c>
      <c r="I629" s="24" t="s">
        <v>40</v>
      </c>
      <c r="J629" s="8">
        <v>12</v>
      </c>
      <c r="K629" s="8">
        <v>162</v>
      </c>
      <c r="L629" s="11">
        <v>6.9444444444444448E-2</v>
      </c>
      <c r="M629" s="39" t="s">
        <v>19</v>
      </c>
      <c r="N629" s="43" t="s">
        <v>615</v>
      </c>
      <c r="O629" s="43" t="s">
        <v>1028</v>
      </c>
    </row>
    <row r="630" spans="1:15">
      <c r="A630" s="5">
        <v>42417</v>
      </c>
      <c r="B630" s="18" t="s">
        <v>15</v>
      </c>
      <c r="C630" s="35" t="s">
        <v>16</v>
      </c>
      <c r="D630" s="7" t="s">
        <v>943</v>
      </c>
      <c r="E630" s="67" t="s">
        <v>1309</v>
      </c>
      <c r="G630" s="7" t="s">
        <v>1310</v>
      </c>
      <c r="H630" s="95" t="s">
        <v>3225</v>
      </c>
      <c r="I630" s="24" t="s">
        <v>40</v>
      </c>
      <c r="J630" s="8">
        <v>12</v>
      </c>
      <c r="K630" s="8">
        <v>76</v>
      </c>
      <c r="L630" s="11">
        <v>7.5694444444444439E-2</v>
      </c>
      <c r="M630" s="39" t="s">
        <v>22</v>
      </c>
      <c r="N630" s="43" t="s">
        <v>615</v>
      </c>
      <c r="O630" s="48" t="s">
        <v>1277</v>
      </c>
    </row>
    <row r="631" spans="1:15" ht="54">
      <c r="A631" s="5">
        <v>42406</v>
      </c>
      <c r="B631" s="18" t="s">
        <v>15</v>
      </c>
      <c r="C631" s="23" t="s">
        <v>223</v>
      </c>
      <c r="D631" s="7" t="s">
        <v>1304</v>
      </c>
      <c r="E631" s="67" t="s">
        <v>1305</v>
      </c>
      <c r="F631" s="85" t="str">
        <f>HYPERLINK("https://drive.google.com/file/d/137HuVRSgJv2VtLIdTndvKk5LMeWp9Fen/view?usp=drivesdk","https://drive.google.com/file/d/137HuVRSgJv2VtLIdTndvKk5LMeWp9Fen/view?usp=drivesdk")</f>
        <v>https://drive.google.com/file/d/137HuVRSgJv2VtLIdTndvKk5LMeWp9Fen/view?usp=drivesdk</v>
      </c>
      <c r="G631" s="7" t="s">
        <v>1306</v>
      </c>
      <c r="H631" s="95" t="s">
        <v>3225</v>
      </c>
      <c r="I631" s="25" t="s">
        <v>629</v>
      </c>
      <c r="J631" s="8">
        <v>62</v>
      </c>
      <c r="K631" s="8">
        <v>2062</v>
      </c>
      <c r="L631" s="11">
        <v>0.29444444444444451</v>
      </c>
      <c r="M631" s="39" t="s">
        <v>19</v>
      </c>
      <c r="N631" s="43" t="s">
        <v>615</v>
      </c>
      <c r="O631" s="43" t="s">
        <v>1028</v>
      </c>
    </row>
    <row r="632" spans="1:15" ht="14.25" customHeight="1">
      <c r="A632" s="5">
        <v>42400</v>
      </c>
      <c r="B632" s="18" t="s">
        <v>15</v>
      </c>
      <c r="C632" s="23" t="s">
        <v>223</v>
      </c>
      <c r="D632" s="7" t="s">
        <v>1301</v>
      </c>
      <c r="E632" s="67" t="s">
        <v>1302</v>
      </c>
      <c r="F632" s="85" t="str">
        <f>HYPERLINK("https://drive.google.com/file/d/1Uou8dMQ7_AMm9l0oNYttuiYw8skxl5-J/view?usp=drivesdk","https://drive.google.com/file/d/1Uou8dMQ7_AMm9l0oNYttuiYw8skxl5-J/view?usp=drivesdk")</f>
        <v>https://drive.google.com/file/d/1Uou8dMQ7_AMm9l0oNYttuiYw8skxl5-J/view?usp=drivesdk</v>
      </c>
      <c r="G632" s="7" t="s">
        <v>1303</v>
      </c>
      <c r="H632" s="95" t="s">
        <v>3225</v>
      </c>
      <c r="I632" s="10"/>
      <c r="J632" s="8">
        <v>28</v>
      </c>
      <c r="K632" s="8">
        <v>901</v>
      </c>
      <c r="L632" s="54">
        <v>0.1340277777777778</v>
      </c>
      <c r="M632" s="39" t="s">
        <v>19</v>
      </c>
      <c r="N632" s="43" t="s">
        <v>615</v>
      </c>
      <c r="O632" s="43" t="s">
        <v>1028</v>
      </c>
    </row>
    <row r="633" spans="1:15">
      <c r="A633" s="5">
        <v>42393</v>
      </c>
      <c r="B633" s="18" t="s">
        <v>15</v>
      </c>
      <c r="C633" s="23" t="s">
        <v>16</v>
      </c>
      <c r="D633" s="7" t="s">
        <v>32</v>
      </c>
      <c r="E633" s="67" t="s">
        <v>1299</v>
      </c>
      <c r="F633" s="85" t="str">
        <f>HYPERLINK("https://drive.google.com/file/d/1Qxn2Hg64WqyObgIM7rOBYL7b5nE67GRG/view?usp=drivesdk","https://drive.google.com/file/d/1Qxn2Hg64WqyObgIM7rOBYL7b5nE67GRG/view?usp=drivesdk")</f>
        <v>https://drive.google.com/file/d/1Qxn2Hg64WqyObgIM7rOBYL7b5nE67GRG/view?usp=drivesdk</v>
      </c>
      <c r="G633" s="7" t="s">
        <v>1300</v>
      </c>
      <c r="H633" s="73" t="s">
        <v>222</v>
      </c>
      <c r="I633" s="10"/>
      <c r="J633" s="8">
        <v>65</v>
      </c>
      <c r="K633" s="8">
        <v>245</v>
      </c>
      <c r="L633" s="54">
        <v>0.18402777777777779</v>
      </c>
      <c r="M633" s="39" t="s">
        <v>22</v>
      </c>
      <c r="N633" s="43" t="s">
        <v>615</v>
      </c>
      <c r="O633" s="48" t="s">
        <v>1277</v>
      </c>
    </row>
    <row r="634" spans="1:15" ht="27" customHeight="1">
      <c r="A634" s="5">
        <v>42385</v>
      </c>
      <c r="B634" s="18" t="s">
        <v>15</v>
      </c>
      <c r="C634" s="23" t="s">
        <v>223</v>
      </c>
      <c r="D634" s="7" t="s">
        <v>1295</v>
      </c>
      <c r="E634" s="67" t="s">
        <v>1296</v>
      </c>
      <c r="F634" s="85" t="str">
        <f>HYPERLINK("https://drive.google.com/file/d/1J8sAcZlX3G441cupbzk8I0eSRV1jySLT/view?usp=drivesdk","https://drive.google.com/file/d/1J8sAcZlX3G441cupbzk8I0eSRV1jySLT/view?usp=drivesdk")</f>
        <v>https://drive.google.com/file/d/1J8sAcZlX3G441cupbzk8I0eSRV1jySLT/view?usp=drivesdk</v>
      </c>
      <c r="G634" s="7" t="s">
        <v>1297</v>
      </c>
      <c r="H634" s="73" t="s">
        <v>307</v>
      </c>
      <c r="I634" s="10"/>
      <c r="J634" s="8">
        <v>50</v>
      </c>
      <c r="K634" s="8">
        <v>1396</v>
      </c>
      <c r="L634" s="11" t="s">
        <v>1298</v>
      </c>
      <c r="M634" s="39" t="s">
        <v>22</v>
      </c>
      <c r="N634" s="43" t="s">
        <v>615</v>
      </c>
      <c r="O634" s="48" t="s">
        <v>1277</v>
      </c>
    </row>
    <row r="635" spans="1:15" ht="54">
      <c r="A635" s="5">
        <v>42379</v>
      </c>
      <c r="B635" s="18" t="s">
        <v>15</v>
      </c>
      <c r="C635" s="23" t="s">
        <v>223</v>
      </c>
      <c r="D635" s="7" t="s">
        <v>1291</v>
      </c>
      <c r="E635" s="67" t="s">
        <v>1292</v>
      </c>
      <c r="F635" s="85" t="str">
        <f>HYPERLINK("https://drive.google.com/file/d/10vRZnetuJkYdXJHbZdb3uL0Y4jLefvde/view?usp=drivesdk","https://drive.google.com/file/d/10vRZnetuJkYdXJHbZdb3uL0Y4jLefvde/view?usp=drivesdk")</f>
        <v>https://drive.google.com/file/d/10vRZnetuJkYdXJHbZdb3uL0Y4jLefvde/view?usp=drivesdk</v>
      </c>
      <c r="G635" s="7" t="s">
        <v>1293</v>
      </c>
      <c r="H635" s="95" t="s">
        <v>3225</v>
      </c>
      <c r="I635" s="10"/>
      <c r="J635" s="8">
        <v>88</v>
      </c>
      <c r="K635" s="8">
        <v>1381</v>
      </c>
      <c r="L635" s="11" t="s">
        <v>1294</v>
      </c>
      <c r="M635" s="39" t="s">
        <v>22</v>
      </c>
      <c r="N635" s="43" t="s">
        <v>615</v>
      </c>
      <c r="O635" s="48" t="s">
        <v>1277</v>
      </c>
    </row>
    <row r="636" spans="1:15">
      <c r="A636" s="5">
        <v>42378</v>
      </c>
      <c r="B636" s="18" t="s">
        <v>15</v>
      </c>
      <c r="C636" s="23" t="s">
        <v>223</v>
      </c>
      <c r="D636" s="7" t="s">
        <v>730</v>
      </c>
      <c r="E636" s="67" t="s">
        <v>1289</v>
      </c>
      <c r="F636" s="85" t="str">
        <f>HYPERLINK("https://drive.google.com/file/d/19NoeHutc2IIH4XQr9_5dt6PFBSgKccN4/view?usp=drivesdk","https://drive.google.com/file/d/19NoeHutc2IIH4XQr9_5dt6PFBSgKccN4/view?usp=drivesdk")</f>
        <v>https://drive.google.com/file/d/19NoeHutc2IIH4XQr9_5dt6PFBSgKccN4/view?usp=drivesdk</v>
      </c>
      <c r="G636" s="7" t="s">
        <v>1290</v>
      </c>
      <c r="H636" s="95" t="s">
        <v>3209</v>
      </c>
      <c r="I636" s="10"/>
      <c r="J636" s="8">
        <v>44</v>
      </c>
      <c r="K636" s="8">
        <v>549</v>
      </c>
      <c r="L636" s="11">
        <v>0.15763888888888891</v>
      </c>
      <c r="M636" s="39" t="s">
        <v>19</v>
      </c>
      <c r="N636" s="43" t="s">
        <v>615</v>
      </c>
      <c r="O636" s="43" t="s">
        <v>1028</v>
      </c>
    </row>
    <row r="637" spans="1:15">
      <c r="A637" s="5">
        <v>42373</v>
      </c>
      <c r="B637" s="18" t="s">
        <v>15</v>
      </c>
      <c r="C637" s="23" t="s">
        <v>16</v>
      </c>
      <c r="D637" s="7" t="s">
        <v>17</v>
      </c>
      <c r="E637" s="67" t="s">
        <v>1288</v>
      </c>
      <c r="F637" s="85" t="str">
        <f>HYPERLINK("https://drive.google.com/file/d/1sd14EwOUY0CQnDYbvgTtXlooX98oIup8/view?usp=drivesdk","https://drive.google.com/file/d/1sd14EwOUY0CQnDYbvgTtXlooX98oIup8/view?usp=drivesdk")</f>
        <v>https://drive.google.com/file/d/1sd14EwOUY0CQnDYbvgTtXlooX98oIup8/view?usp=drivesdk</v>
      </c>
      <c r="G637" s="7" t="s">
        <v>18</v>
      </c>
      <c r="H637" s="73" t="s">
        <v>222</v>
      </c>
      <c r="I637" s="10"/>
      <c r="J637" s="8">
        <v>45</v>
      </c>
      <c r="K637" s="8">
        <v>165</v>
      </c>
      <c r="L637" s="54">
        <v>0.1104166666666667</v>
      </c>
      <c r="M637" s="39" t="s">
        <v>22</v>
      </c>
      <c r="N637" s="43" t="s">
        <v>615</v>
      </c>
      <c r="O637" s="48" t="s">
        <v>1277</v>
      </c>
    </row>
    <row r="638" spans="1:15" ht="27">
      <c r="A638" s="5">
        <v>42372</v>
      </c>
      <c r="B638" s="18" t="s">
        <v>15</v>
      </c>
      <c r="C638" s="23" t="s">
        <v>16</v>
      </c>
      <c r="D638" s="7" t="s">
        <v>1285</v>
      </c>
      <c r="E638" s="67" t="s">
        <v>1286</v>
      </c>
      <c r="F638" s="85" t="str">
        <f>HYPERLINK("https://drive.google.com/file/d/1q_BAGJmWyL4jYmGXFV96Gja8RdLJpAxd/view?usp=drivesdk","https://drive.google.com/file/d/1q_BAGJmWyL4jYmGXFV96Gja8RdLJpAxd/view?usp=drivesdk")</f>
        <v>https://drive.google.com/file/d/1q_BAGJmWyL4jYmGXFV96Gja8RdLJpAxd/view?usp=drivesdk</v>
      </c>
      <c r="G638" s="7" t="s">
        <v>1287</v>
      </c>
      <c r="H638" s="95" t="s">
        <v>3227</v>
      </c>
      <c r="I638" s="10"/>
      <c r="J638" s="8">
        <v>47</v>
      </c>
      <c r="K638" s="8">
        <v>324</v>
      </c>
      <c r="L638" s="54">
        <v>0.12916666666666671</v>
      </c>
      <c r="M638" s="39" t="s">
        <v>22</v>
      </c>
      <c r="N638" s="43" t="s">
        <v>615</v>
      </c>
      <c r="O638" s="48" t="s">
        <v>1277</v>
      </c>
    </row>
    <row r="639" spans="1:15" ht="27">
      <c r="A639" s="5">
        <v>42370</v>
      </c>
      <c r="B639" s="18" t="s">
        <v>15</v>
      </c>
      <c r="C639" s="23" t="s">
        <v>223</v>
      </c>
      <c r="D639" s="7" t="s">
        <v>1281</v>
      </c>
      <c r="E639" s="67" t="s">
        <v>1282</v>
      </c>
      <c r="F639" s="85" t="str">
        <f>HYPERLINK("https://drive.google.com/file/d/1_D2I5w94reAVAR4nbHYNqfOQrafXcSFm/view?usp=drivesdk","https://drive.google.com/file/d/1_D2I5w94reAVAR4nbHYNqfOQrafXcSFm/view?usp=drivesdk")</f>
        <v>https://drive.google.com/file/d/1_D2I5w94reAVAR4nbHYNqfOQrafXcSFm/view?usp=drivesdk</v>
      </c>
      <c r="G639" s="7" t="s">
        <v>1283</v>
      </c>
      <c r="H639" s="95" t="s">
        <v>3227</v>
      </c>
      <c r="I639" s="10"/>
      <c r="J639" s="8">
        <v>36</v>
      </c>
      <c r="K639" s="8">
        <v>1396</v>
      </c>
      <c r="L639" s="11" t="s">
        <v>1284</v>
      </c>
      <c r="M639" s="39" t="s">
        <v>720</v>
      </c>
      <c r="N639" s="43" t="s">
        <v>23</v>
      </c>
      <c r="O639" s="43" t="s">
        <v>802</v>
      </c>
    </row>
    <row r="640" spans="1:15" ht="27">
      <c r="A640" s="5">
        <v>42365</v>
      </c>
      <c r="B640" s="18" t="s">
        <v>15</v>
      </c>
      <c r="C640" s="23" t="s">
        <v>16</v>
      </c>
      <c r="D640" s="21" t="s">
        <v>1278</v>
      </c>
      <c r="E640" s="67" t="s">
        <v>1279</v>
      </c>
      <c r="F640" s="85" t="str">
        <f>HYPERLINK("https://drive.google.com/file/d/1aZjurnR4czsIK_KMx8gsMgtx49f-ImkO/view?usp=drivesdk","https://drive.google.com/file/d/1aZjurnR4czsIK_KMx8gsMgtx49f-ImkO/view?usp=drivesdk")</f>
        <v>https://drive.google.com/file/d/1aZjurnR4czsIK_KMx8gsMgtx49f-ImkO/view?usp=drivesdk</v>
      </c>
      <c r="G640" s="7" t="s">
        <v>1280</v>
      </c>
      <c r="H640" s="95" t="s">
        <v>3215</v>
      </c>
      <c r="I640" s="40"/>
      <c r="J640" s="41">
        <v>65</v>
      </c>
      <c r="K640" s="41">
        <v>1696</v>
      </c>
      <c r="L640" s="54">
        <v>0.2166666666666667</v>
      </c>
      <c r="M640" s="49" t="s">
        <v>22</v>
      </c>
      <c r="N640" s="43" t="s">
        <v>675</v>
      </c>
      <c r="O640" s="43" t="s">
        <v>879</v>
      </c>
    </row>
    <row r="641" spans="1:15">
      <c r="A641" s="5">
        <v>42358</v>
      </c>
      <c r="B641" s="18" t="s">
        <v>15</v>
      </c>
      <c r="C641" s="23" t="s">
        <v>16</v>
      </c>
      <c r="D641" s="7" t="s">
        <v>1274</v>
      </c>
      <c r="E641" s="67" t="s">
        <v>1275</v>
      </c>
      <c r="F641" s="85" t="str">
        <f>HYPERLINK("https://drive.google.com/file/d/1zE4rt0U5aEovaxB3FcAnG5RFeTDiET3_/view?usp=drivesdk","https://drive.google.com/file/d/1zE4rt0U5aEovaxB3FcAnG5RFeTDiET3_/view?usp=drivesdk")</f>
        <v>https://drive.google.com/file/d/1zE4rt0U5aEovaxB3FcAnG5RFeTDiET3_/view?usp=drivesdk</v>
      </c>
      <c r="G641" s="7" t="s">
        <v>1276</v>
      </c>
      <c r="H641" s="95" t="s">
        <v>3215</v>
      </c>
      <c r="I641" s="15" t="s">
        <v>404</v>
      </c>
      <c r="J641" s="41">
        <v>27</v>
      </c>
      <c r="K641" s="41">
        <v>652</v>
      </c>
      <c r="L641" s="54">
        <v>8.819444444444445E-2</v>
      </c>
      <c r="M641" s="49" t="s">
        <v>22</v>
      </c>
      <c r="N641" s="43" t="s">
        <v>615</v>
      </c>
      <c r="O641" s="48" t="s">
        <v>1277</v>
      </c>
    </row>
    <row r="642" spans="1:15">
      <c r="A642" s="5">
        <v>42344</v>
      </c>
      <c r="B642" s="18" t="s">
        <v>15</v>
      </c>
      <c r="C642" s="23" t="s">
        <v>16</v>
      </c>
      <c r="D642" s="7" t="s">
        <v>1272</v>
      </c>
      <c r="E642" s="67" t="s">
        <v>1273</v>
      </c>
      <c r="F642" s="85" t="str">
        <f>HYPERLINK("https://drive.google.com/file/d/1thP96A716aiMCgFgbBNUYj1IS6S5Qymv/view?usp=drivesdk","https://drive.google.com/file/d/1thP96A716aiMCgFgbBNUYj1IS6S5Qymv/view?usp=drivesdk")</f>
        <v>https://drive.google.com/file/d/1thP96A716aiMCgFgbBNUYj1IS6S5Qymv/view?usp=drivesdk</v>
      </c>
      <c r="G642" s="7" t="s">
        <v>1272</v>
      </c>
      <c r="H642" s="95" t="s">
        <v>3208</v>
      </c>
      <c r="I642" s="15" t="s">
        <v>404</v>
      </c>
      <c r="J642" s="41">
        <v>52</v>
      </c>
      <c r="K642" s="41">
        <v>407</v>
      </c>
      <c r="L642" s="54">
        <v>0.19722222222222219</v>
      </c>
      <c r="M642" s="49" t="s">
        <v>102</v>
      </c>
      <c r="N642" s="43" t="s">
        <v>194</v>
      </c>
      <c r="O642" s="43" t="s">
        <v>195</v>
      </c>
    </row>
    <row r="643" spans="1:15">
      <c r="A643" s="5">
        <v>42330</v>
      </c>
      <c r="B643" s="18" t="s">
        <v>15</v>
      </c>
      <c r="C643" s="23" t="s">
        <v>223</v>
      </c>
      <c r="D643" s="21" t="s">
        <v>730</v>
      </c>
      <c r="E643" s="67" t="s">
        <v>1271</v>
      </c>
      <c r="F643" s="85" t="str">
        <f>HYPERLINK("https://drive.google.com/file/d/1PGTsyC8AY5C8ti_BlozQ988YqdA__u8p/view?usp=drivesdk","https://drive.google.com/file/d/1PGTsyC8AY5C8ti_BlozQ988YqdA__u8p/view?usp=drivesdk")</f>
        <v>https://drive.google.com/file/d/1PGTsyC8AY5C8ti_BlozQ988YqdA__u8p/view?usp=drivesdk</v>
      </c>
      <c r="G643" s="7" t="s">
        <v>727</v>
      </c>
      <c r="H643" s="95" t="s">
        <v>3209</v>
      </c>
      <c r="I643" s="15" t="s">
        <v>404</v>
      </c>
      <c r="J643" s="41">
        <v>37</v>
      </c>
      <c r="K643" s="41">
        <v>287</v>
      </c>
      <c r="L643" s="46">
        <v>9.930555555555555E-2</v>
      </c>
      <c r="M643" s="39" t="s">
        <v>19</v>
      </c>
      <c r="N643" s="43" t="s">
        <v>615</v>
      </c>
      <c r="O643" s="43" t="s">
        <v>1028</v>
      </c>
    </row>
    <row r="644" spans="1:15" ht="27" customHeight="1">
      <c r="A644" s="5">
        <v>42329</v>
      </c>
      <c r="B644" s="18" t="s">
        <v>15</v>
      </c>
      <c r="C644" s="23" t="s">
        <v>16</v>
      </c>
      <c r="D644" s="7" t="s">
        <v>1267</v>
      </c>
      <c r="E644" s="67" t="s">
        <v>1268</v>
      </c>
      <c r="F644" s="85" t="str">
        <f>HYPERLINK("https://drive.google.com/file/d/1cgrfK35jAGwbdzjum1AaZ8QYTSD2NydT/view?usp=drivesdk","https://drive.google.com/file/d/1cgrfK35jAGwbdzjum1AaZ8QYTSD2NydT/view?usp=drivesdk")</f>
        <v>https://drive.google.com/file/d/1cgrfK35jAGwbdzjum1AaZ8QYTSD2NydT/view?usp=drivesdk</v>
      </c>
      <c r="G644" s="7" t="s">
        <v>1269</v>
      </c>
      <c r="H644" s="95" t="s">
        <v>3221</v>
      </c>
      <c r="I644" s="15" t="s">
        <v>404</v>
      </c>
      <c r="J644" s="8">
        <v>75</v>
      </c>
      <c r="K644" s="8">
        <v>1224</v>
      </c>
      <c r="L644" s="11" t="s">
        <v>1270</v>
      </c>
      <c r="M644" s="39" t="s">
        <v>22</v>
      </c>
      <c r="N644" s="43" t="s">
        <v>675</v>
      </c>
      <c r="O644" s="43" t="s">
        <v>879</v>
      </c>
    </row>
    <row r="645" spans="1:15">
      <c r="A645" s="5">
        <v>42323</v>
      </c>
      <c r="B645" s="18" t="s">
        <v>15</v>
      </c>
      <c r="C645" s="23" t="s">
        <v>16</v>
      </c>
      <c r="D645" s="7" t="s">
        <v>190</v>
      </c>
      <c r="E645" s="67" t="s">
        <v>1266</v>
      </c>
      <c r="F645" s="85" t="str">
        <f>HYPERLINK("https://drive.google.com/file/d/1n9s04i4Fgp19o71YS-GcEnOCocJv9acq/view?usp=drivesdk","https://drive.google.com/file/d/1n9s04i4Fgp19o71YS-GcEnOCocJv9acq/view?usp=drivesdk")</f>
        <v>https://drive.google.com/file/d/1n9s04i4Fgp19o71YS-GcEnOCocJv9acq/view?usp=drivesdk</v>
      </c>
      <c r="G645" s="7" t="s">
        <v>191</v>
      </c>
      <c r="H645" s="95" t="s">
        <v>3208</v>
      </c>
      <c r="I645" s="15" t="s">
        <v>404</v>
      </c>
      <c r="J645" s="41">
        <v>29</v>
      </c>
      <c r="K645" s="41">
        <v>107</v>
      </c>
      <c r="L645" s="54">
        <v>8.611111111111111E-2</v>
      </c>
      <c r="M645" s="49" t="s">
        <v>720</v>
      </c>
      <c r="N645" s="43" t="s">
        <v>23</v>
      </c>
      <c r="O645" s="43" t="s">
        <v>802</v>
      </c>
    </row>
    <row r="646" spans="1:15" ht="27" customHeight="1">
      <c r="A646" s="5">
        <v>42311</v>
      </c>
      <c r="B646" s="18" t="s">
        <v>15</v>
      </c>
      <c r="C646" s="23" t="s">
        <v>223</v>
      </c>
      <c r="D646" s="7" t="s">
        <v>730</v>
      </c>
      <c r="E646" s="67" t="s">
        <v>1265</v>
      </c>
      <c r="F646" s="85" t="str">
        <f>HYPERLINK("https://drive.google.com/file/d/1ZxLLCWqLebdW_UEvgaV3nFv6vGDWs1OE/view?usp=drivesdk","https://drive.google.com/file/d/1ZxLLCWqLebdW_UEvgaV3nFv6vGDWs1OE/view?usp=drivesdk")</f>
        <v>https://drive.google.com/file/d/1ZxLLCWqLebdW_UEvgaV3nFv6vGDWs1OE/view?usp=drivesdk</v>
      </c>
      <c r="G646" s="7" t="s">
        <v>727</v>
      </c>
      <c r="H646" s="95" t="s">
        <v>3209</v>
      </c>
      <c r="I646" s="40"/>
      <c r="J646" s="41">
        <v>62</v>
      </c>
      <c r="K646" s="41">
        <v>317</v>
      </c>
      <c r="L646" s="54">
        <v>0.1756944444444444</v>
      </c>
      <c r="M646" s="49" t="s">
        <v>720</v>
      </c>
      <c r="N646" s="43" t="s">
        <v>23</v>
      </c>
      <c r="O646" s="43" t="s">
        <v>802</v>
      </c>
    </row>
    <row r="647" spans="1:15" ht="54" customHeight="1">
      <c r="A647" s="5">
        <v>42308</v>
      </c>
      <c r="B647" s="18" t="s">
        <v>15</v>
      </c>
      <c r="C647" s="23" t="s">
        <v>16</v>
      </c>
      <c r="D647" s="7" t="s">
        <v>1262</v>
      </c>
      <c r="E647" s="67" t="s">
        <v>1263</v>
      </c>
      <c r="F647" s="85" t="str">
        <f>HYPERLINK("https://drive.google.com/file/d/1QckAi8PEIAHSmXiAFWSrx9Kc6pT2dBHr/view?usp=drivesdk","https://drive.google.com/file/d/1QckAi8PEIAHSmXiAFWSrx9Kc6pT2dBHr/view?usp=drivesdk")</f>
        <v>https://drive.google.com/file/d/1QckAi8PEIAHSmXiAFWSrx9Kc6pT2dBHr/view?usp=drivesdk</v>
      </c>
      <c r="G647" s="7" t="s">
        <v>1264</v>
      </c>
      <c r="H647" s="95" t="s">
        <v>3207</v>
      </c>
      <c r="I647" s="15" t="s">
        <v>404</v>
      </c>
      <c r="J647" s="8">
        <v>62</v>
      </c>
      <c r="K647" s="8">
        <v>1704</v>
      </c>
      <c r="L647" s="54">
        <v>0.26805555555555549</v>
      </c>
      <c r="M647" s="39" t="s">
        <v>720</v>
      </c>
      <c r="N647" s="43" t="s">
        <v>23</v>
      </c>
      <c r="O647" s="43" t="s">
        <v>802</v>
      </c>
    </row>
    <row r="648" spans="1:15">
      <c r="A648" s="5">
        <v>42295</v>
      </c>
      <c r="B648" s="18" t="s">
        <v>15</v>
      </c>
      <c r="C648" s="23" t="s">
        <v>16</v>
      </c>
      <c r="D648" s="7" t="s">
        <v>32</v>
      </c>
      <c r="E648" s="67" t="s">
        <v>1260</v>
      </c>
      <c r="F648" s="85" t="str">
        <f>HYPERLINK("https://drive.google.com/file/d/1t2rGWU9CWti11uUdE3s3-EUKNi7ejpgI/view?usp=drivesdk","https://drive.google.com/file/d/1t2rGWU9CWti11uUdE3s3-EUKNi7ejpgI/view?usp=drivesdk")</f>
        <v>https://drive.google.com/file/d/1t2rGWU9CWti11uUdE3s3-EUKNi7ejpgI/view?usp=drivesdk</v>
      </c>
      <c r="G648" s="7" t="s">
        <v>1261</v>
      </c>
      <c r="H648" s="73" t="s">
        <v>222</v>
      </c>
      <c r="I648" s="10"/>
      <c r="J648" s="8">
        <v>38</v>
      </c>
      <c r="K648" s="8">
        <v>130</v>
      </c>
      <c r="L648" s="54">
        <v>0.1472222222222222</v>
      </c>
      <c r="M648" s="39" t="s">
        <v>330</v>
      </c>
      <c r="N648" s="43" t="s">
        <v>331</v>
      </c>
      <c r="O648" s="43" t="s">
        <v>332</v>
      </c>
    </row>
    <row r="649" spans="1:15" ht="27">
      <c r="A649" s="5">
        <v>42281</v>
      </c>
      <c r="B649" s="18" t="s">
        <v>15</v>
      </c>
      <c r="C649" s="23" t="s">
        <v>16</v>
      </c>
      <c r="D649" s="7" t="s">
        <v>566</v>
      </c>
      <c r="E649" s="67" t="s">
        <v>1258</v>
      </c>
      <c r="F649" s="85" t="str">
        <f>HYPERLINK("https://drive.google.com/file/d/18YQbVO8il6QwnicujkKGCVan3Ma7NWOu/view?usp=drivesdk","https://drive.google.com/file/d/18YQbVO8il6QwnicujkKGCVan3Ma7NWOu/view?usp=drivesdk")</f>
        <v>https://drive.google.com/file/d/18YQbVO8il6QwnicujkKGCVan3Ma7NWOu/view?usp=drivesdk</v>
      </c>
      <c r="G649" s="7" t="s">
        <v>1259</v>
      </c>
      <c r="H649" s="95" t="s">
        <v>3193</v>
      </c>
      <c r="I649" s="10"/>
      <c r="J649" s="8">
        <v>3</v>
      </c>
      <c r="K649" s="8">
        <v>4</v>
      </c>
      <c r="L649" s="11">
        <v>3.9583333333333331E-2</v>
      </c>
      <c r="M649" s="39" t="s">
        <v>330</v>
      </c>
      <c r="N649" s="43" t="s">
        <v>331</v>
      </c>
      <c r="O649" s="43" t="s">
        <v>332</v>
      </c>
    </row>
    <row r="650" spans="1:15" ht="81" customHeight="1">
      <c r="A650" s="5">
        <v>42269</v>
      </c>
      <c r="B650" s="18" t="s">
        <v>15</v>
      </c>
      <c r="C650" s="23" t="s">
        <v>16</v>
      </c>
      <c r="D650" s="7" t="s">
        <v>1255</v>
      </c>
      <c r="E650" s="67" t="s">
        <v>1256</v>
      </c>
      <c r="F650" s="85" t="str">
        <f>HYPERLINK("https://drive.google.com/file/d/1PTZzwz8cRCgzxN6zM9rk1ZWh_Q8S8EO7/view?usp=drivesdk","https://drive.google.com/file/d/1PTZzwz8cRCgzxN6zM9rk1ZWh_Q8S8EO7/view?usp=drivesdk")</f>
        <v>https://drive.google.com/file/d/1PTZzwz8cRCgzxN6zM9rk1ZWh_Q8S8EO7/view?usp=drivesdk</v>
      </c>
      <c r="G650" s="7" t="s">
        <v>1257</v>
      </c>
      <c r="H650" s="95" t="s">
        <v>3257</v>
      </c>
      <c r="I650" s="10"/>
      <c r="J650" s="8">
        <v>92</v>
      </c>
      <c r="K650" s="8">
        <v>2022</v>
      </c>
      <c r="L650" s="54">
        <v>0.35972222222222222</v>
      </c>
      <c r="M650" s="39" t="s">
        <v>22</v>
      </c>
      <c r="N650" s="43" t="s">
        <v>675</v>
      </c>
      <c r="O650" s="43" t="s">
        <v>879</v>
      </c>
    </row>
    <row r="651" spans="1:15" ht="13.5">
      <c r="A651" s="5">
        <v>42268</v>
      </c>
      <c r="B651" s="18" t="s">
        <v>15</v>
      </c>
      <c r="C651" s="23" t="s">
        <v>16</v>
      </c>
      <c r="D651" s="7" t="s">
        <v>1248</v>
      </c>
      <c r="E651" s="67" t="s">
        <v>1249</v>
      </c>
      <c r="F651" s="85" t="str">
        <f>HYPERLINK("https://drive.google.com/file/d/1PvK2qDfcw0-KgOnpgBk5wutYpM_VYXD3/view?usp=drivesdk","https://drive.google.com/file/d/1PvK2qDfcw0-KgOnpgBk5wutYpM_VYXD3/view?usp=drivesdk")</f>
        <v>https://drive.google.com/file/d/1PvK2qDfcw0-KgOnpgBk5wutYpM_VYXD3/view?usp=drivesdk</v>
      </c>
      <c r="G651" s="7" t="s">
        <v>1250</v>
      </c>
      <c r="H651" s="95" t="s">
        <v>3202</v>
      </c>
      <c r="I651" s="23" t="s">
        <v>276</v>
      </c>
      <c r="J651" s="8">
        <v>38</v>
      </c>
      <c r="K651" s="8">
        <v>1332</v>
      </c>
      <c r="L651" s="11">
        <v>0.16041666666666671</v>
      </c>
      <c r="M651" s="39" t="s">
        <v>22</v>
      </c>
      <c r="N651" s="43" t="s">
        <v>675</v>
      </c>
      <c r="O651" s="43" t="s">
        <v>879</v>
      </c>
    </row>
    <row r="652" spans="1:15">
      <c r="A652" s="5">
        <v>42268</v>
      </c>
      <c r="B652" s="18" t="s">
        <v>15</v>
      </c>
      <c r="C652" s="23" t="s">
        <v>16</v>
      </c>
      <c r="D652" s="7" t="s">
        <v>1251</v>
      </c>
      <c r="E652" s="67" t="s">
        <v>1252</v>
      </c>
      <c r="F652" s="85" t="str">
        <f>HYPERLINK("https://drive.google.com/file/d/1awxDxfj5xLDuYLibZdu7-unEO_pQSP6M/view?usp=drivesdk","https://drive.google.com/file/d/1awxDxfj5xLDuYLibZdu7-unEO_pQSP6M/view?usp=drivesdk")</f>
        <v>https://drive.google.com/file/d/1awxDxfj5xLDuYLibZdu7-unEO_pQSP6M/view?usp=drivesdk</v>
      </c>
      <c r="G652" s="7" t="s">
        <v>1253</v>
      </c>
      <c r="H652" s="95" t="s">
        <v>3279</v>
      </c>
      <c r="I652" s="10"/>
      <c r="J652" s="8">
        <v>10</v>
      </c>
      <c r="K652" s="8">
        <v>36</v>
      </c>
      <c r="L652" s="11" t="s">
        <v>1254</v>
      </c>
      <c r="M652" s="39" t="s">
        <v>720</v>
      </c>
      <c r="N652" s="43" t="s">
        <v>23</v>
      </c>
      <c r="O652" s="43" t="s">
        <v>802</v>
      </c>
    </row>
    <row r="653" spans="1:15" ht="54" customHeight="1">
      <c r="A653" s="5">
        <v>42267</v>
      </c>
      <c r="B653" s="18" t="s">
        <v>15</v>
      </c>
      <c r="C653" s="23" t="s">
        <v>223</v>
      </c>
      <c r="D653" s="7" t="s">
        <v>1244</v>
      </c>
      <c r="E653" s="103" t="s">
        <v>1245</v>
      </c>
      <c r="F653" s="85" t="str">
        <f>HYPERLINK("https://drive.google.com/file/d/1aHdk7jub-j88b2S_DSUMd5U3q5WtKoX-/view?usp=drivesdk","https://drive.google.com/file/d/1aHdk7jub-j88b2S_DSUMd5U3q5WtKoX-/view?usp=drivesdk")</f>
        <v>https://drive.google.com/file/d/1aHdk7jub-j88b2S_DSUMd5U3q5WtKoX-/view?usp=drivesdk</v>
      </c>
      <c r="G653" s="7" t="s">
        <v>1246</v>
      </c>
      <c r="H653" s="95" t="s">
        <v>3202</v>
      </c>
      <c r="I653" s="10"/>
      <c r="J653" s="8">
        <v>90</v>
      </c>
      <c r="K653" s="8">
        <v>2176</v>
      </c>
      <c r="L653" s="11" t="s">
        <v>1247</v>
      </c>
      <c r="M653" s="39" t="s">
        <v>720</v>
      </c>
      <c r="N653" s="43" t="s">
        <v>23</v>
      </c>
      <c r="O653" s="43" t="s">
        <v>802</v>
      </c>
    </row>
    <row r="654" spans="1:15">
      <c r="A654" s="5">
        <v>42260</v>
      </c>
      <c r="B654" s="18" t="s">
        <v>15</v>
      </c>
      <c r="C654" s="23" t="s">
        <v>16</v>
      </c>
      <c r="D654" s="7" t="s">
        <v>32</v>
      </c>
      <c r="E654" s="67" t="s">
        <v>1243</v>
      </c>
      <c r="F654" s="85" t="str">
        <f>HYPERLINK("https://drive.google.com/file/d/1L6U1oWd6puAg2gJphm3pl-uGs_RqtRX5/view?usp=drivesdk","https://drive.google.com/file/d/1L6U1oWd6puAg2gJphm3pl-uGs_RqtRX5/view?usp=drivesdk")</f>
        <v>https://drive.google.com/file/d/1L6U1oWd6puAg2gJphm3pl-uGs_RqtRX5/view?usp=drivesdk</v>
      </c>
      <c r="G654" s="7" t="s">
        <v>874</v>
      </c>
      <c r="H654" s="73" t="s">
        <v>222</v>
      </c>
      <c r="I654" s="10"/>
      <c r="J654" s="8">
        <v>20</v>
      </c>
      <c r="K654" s="8">
        <v>89</v>
      </c>
      <c r="L654" s="11">
        <v>0.1333333333333333</v>
      </c>
      <c r="M654" s="39" t="s">
        <v>330</v>
      </c>
      <c r="N654" s="43" t="s">
        <v>331</v>
      </c>
      <c r="O654" s="43" t="s">
        <v>332</v>
      </c>
    </row>
    <row r="655" spans="1:15" ht="27">
      <c r="A655" s="5">
        <v>42253</v>
      </c>
      <c r="B655" s="18" t="s">
        <v>15</v>
      </c>
      <c r="C655" s="23" t="s">
        <v>16</v>
      </c>
      <c r="D655" s="7" t="s">
        <v>1240</v>
      </c>
      <c r="E655" s="68" t="s">
        <v>1241</v>
      </c>
      <c r="F655" s="85" t="str">
        <f>HYPERLINK("https://drive.google.com/file/d/135Bb4kGpFwHd6PXfVR5LeUIN5U3HAIeP/view?usp=drivesdk","https://drive.google.com/file/d/135Bb4kGpFwHd6PXfVR5LeUIN5U3HAIeP/view?usp=drivesdk")</f>
        <v>https://drive.google.com/file/d/135Bb4kGpFwHd6PXfVR5LeUIN5U3HAIeP/view?usp=drivesdk</v>
      </c>
      <c r="G655" s="7" t="s">
        <v>1242</v>
      </c>
      <c r="H655" s="95" t="s">
        <v>3215</v>
      </c>
      <c r="I655" s="10"/>
      <c r="J655" s="8">
        <v>49</v>
      </c>
      <c r="K655" s="8">
        <v>111</v>
      </c>
      <c r="L655" s="11">
        <v>0.14930555555555561</v>
      </c>
      <c r="M655" s="39" t="s">
        <v>720</v>
      </c>
      <c r="N655" s="43" t="s">
        <v>23</v>
      </c>
      <c r="O655" s="43" t="s">
        <v>802</v>
      </c>
    </row>
    <row r="656" spans="1:15" ht="54" customHeight="1">
      <c r="A656" s="5">
        <v>42245</v>
      </c>
      <c r="B656" s="18" t="s">
        <v>15</v>
      </c>
      <c r="C656" s="23" t="s">
        <v>16</v>
      </c>
      <c r="D656" s="7" t="s">
        <v>1237</v>
      </c>
      <c r="E656" s="68" t="s">
        <v>1238</v>
      </c>
      <c r="F656" s="85" t="str">
        <f>HYPERLINK("https://drive.google.com/file/d/1EV9EgxZ4hTAhjwMQQvHM7TTCqExk_sMI/view?usp=drivesdk","https://drive.google.com/file/d/1EV9EgxZ4hTAhjwMQQvHM7TTCqExk_sMI/view?usp=drivesdk")</f>
        <v>https://drive.google.com/file/d/1EV9EgxZ4hTAhjwMQQvHM7TTCqExk_sMI/view?usp=drivesdk</v>
      </c>
      <c r="G656" s="7" t="s">
        <v>1239</v>
      </c>
      <c r="H656" s="95" t="s">
        <v>3202</v>
      </c>
      <c r="I656" s="40"/>
      <c r="J656" s="41">
        <v>20</v>
      </c>
      <c r="K656" s="41">
        <v>314</v>
      </c>
      <c r="L656" s="54">
        <v>6.5277777777777782E-2</v>
      </c>
      <c r="M656" s="39" t="s">
        <v>22</v>
      </c>
      <c r="N656" s="43" t="s">
        <v>675</v>
      </c>
      <c r="O656" s="43" t="s">
        <v>676</v>
      </c>
    </row>
    <row r="657" spans="1:15" ht="40.5" customHeight="1">
      <c r="A657" s="5">
        <v>42244</v>
      </c>
      <c r="B657" s="18" t="s">
        <v>15</v>
      </c>
      <c r="C657" s="23" t="s">
        <v>223</v>
      </c>
      <c r="D657" s="7" t="s">
        <v>1234</v>
      </c>
      <c r="E657" s="68" t="s">
        <v>1235</v>
      </c>
      <c r="F657" s="85" t="str">
        <f>HYPERLINK("https://drive.google.com/file/d/1HW0G6lDeZPQScroosJriQuGe7mDisW9p/view?usp=drivesdk","https://drive.google.com/file/d/1HW0G6lDeZPQScroosJriQuGe7mDisW9p/view?usp=drivesdk")</f>
        <v>https://drive.google.com/file/d/1HW0G6lDeZPQScroosJriQuGe7mDisW9p/view?usp=drivesdk</v>
      </c>
      <c r="G657" s="7" t="s">
        <v>1236</v>
      </c>
      <c r="H657" s="95" t="s">
        <v>3202</v>
      </c>
      <c r="I657" s="10"/>
      <c r="J657" s="8">
        <v>17</v>
      </c>
      <c r="K657" s="8">
        <v>704</v>
      </c>
      <c r="L657" s="54">
        <v>7.4999999999999997E-2</v>
      </c>
      <c r="M657" s="39" t="s">
        <v>22</v>
      </c>
      <c r="N657" s="43" t="s">
        <v>675</v>
      </c>
      <c r="O657" s="43" t="s">
        <v>676</v>
      </c>
    </row>
    <row r="658" spans="1:15" ht="54" customHeight="1">
      <c r="A658" s="5">
        <v>42239</v>
      </c>
      <c r="B658" s="18" t="s">
        <v>15</v>
      </c>
      <c r="C658" s="23" t="s">
        <v>16</v>
      </c>
      <c r="D658" s="7" t="s">
        <v>276</v>
      </c>
      <c r="E658" s="68" t="s">
        <v>1233</v>
      </c>
      <c r="F658" s="85" t="str">
        <f>HYPERLINK("https://drive.google.com/file/d/17ZMcjHk84xoKenESXkiw3daoR6i__N8l/view?usp=drivesdk","https://drive.google.com/file/d/17ZMcjHk84xoKenESXkiw3daoR6i__N8l/view?usp=drivesdk")</f>
        <v>https://drive.google.com/file/d/17ZMcjHk84xoKenESXkiw3daoR6i__N8l/view?usp=drivesdk</v>
      </c>
      <c r="G658" s="7" t="s">
        <v>383</v>
      </c>
      <c r="H658" s="95" t="s">
        <v>3202</v>
      </c>
      <c r="I658" s="23" t="s">
        <v>276</v>
      </c>
      <c r="J658" s="8">
        <v>47</v>
      </c>
      <c r="K658" s="8"/>
      <c r="L658" s="11"/>
      <c r="M658" s="39" t="s">
        <v>22</v>
      </c>
      <c r="N658" s="43" t="s">
        <v>675</v>
      </c>
      <c r="O658" s="43" t="s">
        <v>879</v>
      </c>
    </row>
    <row r="659" spans="1:15" ht="54" customHeight="1">
      <c r="A659" s="5">
        <v>42238</v>
      </c>
      <c r="B659" s="18" t="s">
        <v>15</v>
      </c>
      <c r="C659" s="23" t="s">
        <v>16</v>
      </c>
      <c r="D659" s="7" t="s">
        <v>1230</v>
      </c>
      <c r="E659" s="67" t="s">
        <v>1231</v>
      </c>
      <c r="F659" s="85" t="str">
        <f>HYPERLINK("https://drive.google.com/file/d/1VBZHC5ER42IYK-SI7fQpIWOgD5LNQjad/view?usp=drivesdk","https://drive.google.com/file/d/1VBZHC5ER42IYK-SI7fQpIWOgD5LNQjad/view?usp=drivesdk")</f>
        <v>https://drive.google.com/file/d/1VBZHC5ER42IYK-SI7fQpIWOgD5LNQjad/view?usp=drivesdk</v>
      </c>
      <c r="G659" s="7" t="s">
        <v>1232</v>
      </c>
      <c r="H659" s="95" t="s">
        <v>3202</v>
      </c>
      <c r="I659" s="10"/>
      <c r="J659" s="8">
        <v>28</v>
      </c>
      <c r="K659" s="8">
        <v>618</v>
      </c>
      <c r="L659" s="54">
        <v>7.1527777777777773E-2</v>
      </c>
      <c r="M659" s="39" t="s">
        <v>22</v>
      </c>
      <c r="N659" s="43" t="s">
        <v>23</v>
      </c>
      <c r="O659" s="43" t="s">
        <v>136</v>
      </c>
    </row>
    <row r="660" spans="1:15" ht="40.5" customHeight="1">
      <c r="A660" s="5">
        <v>42232</v>
      </c>
      <c r="B660" s="18" t="s">
        <v>15</v>
      </c>
      <c r="C660" s="23" t="s">
        <v>223</v>
      </c>
      <c r="D660" s="7" t="s">
        <v>1227</v>
      </c>
      <c r="E660" s="67" t="s">
        <v>1228</v>
      </c>
      <c r="F660" s="85" t="str">
        <f>HYPERLINK("https://drive.google.com/file/d/1hWy5PaAqp0Vyosngcp3cTkc9QnHDeEbB/view?usp=drivesdk","https://drive.google.com/file/d/1hWy5PaAqp0Vyosngcp3cTkc9QnHDeEbB/view?usp=drivesdk")</f>
        <v>https://drive.google.com/file/d/1hWy5PaAqp0Vyosngcp3cTkc9QnHDeEbB/view?usp=drivesdk</v>
      </c>
      <c r="G660" s="7" t="s">
        <v>1229</v>
      </c>
      <c r="H660" s="95" t="s">
        <v>3208</v>
      </c>
      <c r="I660" s="10"/>
      <c r="J660" s="8">
        <v>30</v>
      </c>
      <c r="K660" s="8">
        <v>189</v>
      </c>
      <c r="L660" s="54">
        <v>0.15694444444444439</v>
      </c>
      <c r="M660" s="39" t="s">
        <v>720</v>
      </c>
      <c r="N660" s="43" t="s">
        <v>23</v>
      </c>
      <c r="O660" s="43" t="s">
        <v>802</v>
      </c>
    </row>
    <row r="661" spans="1:15" ht="27" customHeight="1">
      <c r="A661" s="5">
        <v>42231</v>
      </c>
      <c r="B661" s="18" t="s">
        <v>15</v>
      </c>
      <c r="C661" s="23" t="s">
        <v>16</v>
      </c>
      <c r="D661" s="7" t="s">
        <v>1224</v>
      </c>
      <c r="E661" s="67" t="s">
        <v>1225</v>
      </c>
      <c r="F661" s="85" t="str">
        <f>HYPERLINK("https://drive.google.com/file/d/1x544Lcubzn7UntmELJJ35NbLB97c7NvJ/view?usp=drivesdk","https://drive.google.com/file/d/1x544Lcubzn7UntmELJJ35NbLB97c7NvJ/view?usp=drivesdk")</f>
        <v>https://drive.google.com/file/d/1x544Lcubzn7UntmELJJ35NbLB97c7NvJ/view?usp=drivesdk</v>
      </c>
      <c r="G661" s="7" t="s">
        <v>1226</v>
      </c>
      <c r="H661" s="95" t="s">
        <v>3200</v>
      </c>
      <c r="I661" s="10"/>
      <c r="J661" s="8">
        <v>36</v>
      </c>
      <c r="K661" s="8">
        <v>603</v>
      </c>
      <c r="L661" s="11">
        <v>0.1368055555555556</v>
      </c>
      <c r="M661" s="39" t="s">
        <v>22</v>
      </c>
      <c r="N661" s="43" t="s">
        <v>675</v>
      </c>
      <c r="O661" s="43" t="s">
        <v>879</v>
      </c>
    </row>
    <row r="662" spans="1:15" ht="67.5" customHeight="1">
      <c r="A662" s="5">
        <v>42226</v>
      </c>
      <c r="B662" s="18" t="s">
        <v>15</v>
      </c>
      <c r="C662" s="23" t="s">
        <v>16</v>
      </c>
      <c r="D662" s="7" t="s">
        <v>1220</v>
      </c>
      <c r="E662" s="67" t="s">
        <v>1221</v>
      </c>
      <c r="F662" s="85" t="str">
        <f>HYPERLINK("https://drive.google.com/file/d/1lm0wmJtE4drP_l1_Z8ebQozMHMJheKnK/view?usp=drivesdk","https://drive.google.com/file/d/1lm0wmJtE4drP_l1_Z8ebQozMHMJheKnK/view?usp=drivesdk")</f>
        <v>https://drive.google.com/file/d/1lm0wmJtE4drP_l1_Z8ebQozMHMJheKnK/view?usp=drivesdk</v>
      </c>
      <c r="G662" s="7" t="s">
        <v>1222</v>
      </c>
      <c r="H662" s="95" t="s">
        <v>3199</v>
      </c>
      <c r="I662" s="23" t="s">
        <v>1086</v>
      </c>
      <c r="J662" s="8">
        <v>92</v>
      </c>
      <c r="K662" s="8">
        <v>881</v>
      </c>
      <c r="L662" s="11" t="s">
        <v>1223</v>
      </c>
      <c r="M662" s="39" t="s">
        <v>22</v>
      </c>
      <c r="N662" s="43" t="s">
        <v>675</v>
      </c>
      <c r="O662" s="43" t="s">
        <v>879</v>
      </c>
    </row>
    <row r="663" spans="1:15" ht="27" customHeight="1">
      <c r="A663" s="5">
        <v>42225</v>
      </c>
      <c r="B663" s="18" t="s">
        <v>15</v>
      </c>
      <c r="C663" s="23" t="s">
        <v>16</v>
      </c>
      <c r="D663" s="7" t="s">
        <v>1216</v>
      </c>
      <c r="E663" s="103" t="s">
        <v>1217</v>
      </c>
      <c r="F663" s="85" t="str">
        <f>HYPERLINK("https://drive.google.com/file/d/11I0GCChDXVJYqIwi4FbVwmK7Kah_4u16/view?usp=drivesdk","https://drive.google.com/file/d/11I0GCChDXVJYqIwi4FbVwmK7Kah_4u16/view?usp=drivesdk")</f>
        <v>https://drive.google.com/file/d/11I0GCChDXVJYqIwi4FbVwmK7Kah_4u16/view?usp=drivesdk</v>
      </c>
      <c r="G663" s="7" t="s">
        <v>1218</v>
      </c>
      <c r="H663" s="73" t="s">
        <v>3278</v>
      </c>
      <c r="I663" s="10"/>
      <c r="J663" s="8">
        <v>68.900000000000006</v>
      </c>
      <c r="K663" s="8">
        <v>2442</v>
      </c>
      <c r="L663" s="11" t="s">
        <v>1219</v>
      </c>
      <c r="M663" s="39" t="s">
        <v>22</v>
      </c>
      <c r="N663" s="43" t="s">
        <v>675</v>
      </c>
      <c r="O663" s="43" t="s">
        <v>879</v>
      </c>
    </row>
    <row r="664" spans="1:15" ht="40.5" customHeight="1">
      <c r="A664" s="5">
        <v>42218</v>
      </c>
      <c r="B664" s="18" t="s">
        <v>15</v>
      </c>
      <c r="C664" s="23" t="s">
        <v>16</v>
      </c>
      <c r="D664" s="7" t="s">
        <v>1214</v>
      </c>
      <c r="E664" s="67" t="s">
        <v>1215</v>
      </c>
      <c r="F664" s="85" t="str">
        <f>HYPERLINK("https://drive.google.com/file/d/1KPTfwlfaXcnE6m2gTtvmCJgSbnFnHHrZ/view?usp=drivesdk","https://drive.google.com/file/d/1KPTfwlfaXcnE6m2gTtvmCJgSbnFnHHrZ/view?usp=drivesdk")</f>
        <v>https://drive.google.com/file/d/1KPTfwlfaXcnE6m2gTtvmCJgSbnFnHHrZ/view?usp=drivesdk</v>
      </c>
      <c r="G664" s="7"/>
      <c r="H664" s="95" t="s">
        <v>3203</v>
      </c>
      <c r="I664" s="10"/>
      <c r="J664" s="8">
        <v>23</v>
      </c>
      <c r="K664" s="8">
        <v>636</v>
      </c>
      <c r="L664" s="54">
        <v>8.2638888888888887E-2</v>
      </c>
      <c r="M664" s="39" t="s">
        <v>22</v>
      </c>
      <c r="N664" s="43" t="s">
        <v>675</v>
      </c>
      <c r="O664" s="43" t="s">
        <v>879</v>
      </c>
    </row>
    <row r="665" spans="1:15" ht="40.5" customHeight="1">
      <c r="A665" s="5">
        <v>42211</v>
      </c>
      <c r="B665" s="18" t="s">
        <v>15</v>
      </c>
      <c r="C665" s="23" t="s">
        <v>223</v>
      </c>
      <c r="D665" s="7" t="s">
        <v>1210</v>
      </c>
      <c r="E665" s="103" t="s">
        <v>1211</v>
      </c>
      <c r="F665" s="85" t="str">
        <f>HYPERLINK("https://drive.google.com/file/d/1AU9937ND9h5RG72VBWEWpfsrX_iLpOhi/view?usp=drivesdk","https://drive.google.com/file/d/1AU9937ND9h5RG72VBWEWpfsrX_iLpOhi/view?usp=drivesdk")</f>
        <v>https://drive.google.com/file/d/1AU9937ND9h5RG72VBWEWpfsrX_iLpOhi/view?usp=drivesdk</v>
      </c>
      <c r="G665" s="7" t="s">
        <v>1212</v>
      </c>
      <c r="H665" s="95" t="s">
        <v>3277</v>
      </c>
      <c r="I665" s="10"/>
      <c r="J665" s="8">
        <v>118.2</v>
      </c>
      <c r="K665" s="8">
        <v>2464</v>
      </c>
      <c r="L665" s="11" t="s">
        <v>1213</v>
      </c>
      <c r="M665" s="39" t="s">
        <v>720</v>
      </c>
      <c r="N665" s="43" t="s">
        <v>23</v>
      </c>
      <c r="O665" s="43" t="s">
        <v>802</v>
      </c>
    </row>
    <row r="666" spans="1:15" ht="18.75" customHeight="1">
      <c r="A666" s="5">
        <v>42204</v>
      </c>
      <c r="B666" s="18" t="s">
        <v>15</v>
      </c>
      <c r="C666" s="23" t="s">
        <v>16</v>
      </c>
      <c r="D666" s="7" t="s">
        <v>1206</v>
      </c>
      <c r="E666" s="67" t="s">
        <v>1207</v>
      </c>
      <c r="F666" s="85" t="str">
        <f>HYPERLINK("https://drive.google.com/file/d/1qDx02wFO-26o79aqRbt2r4T_B3cQWrNQ/view?usp=drivesdk","https://drive.google.com/file/d/1qDx02wFO-26o79aqRbt2r4T_B3cQWrNQ/view?usp=drivesdk")</f>
        <v>https://drive.google.com/file/d/1qDx02wFO-26o79aqRbt2r4T_B3cQWrNQ/view?usp=drivesdk</v>
      </c>
      <c r="G666" s="7" t="s">
        <v>1208</v>
      </c>
      <c r="H666" s="95" t="s">
        <v>3224</v>
      </c>
      <c r="I666" s="10"/>
      <c r="J666" s="8">
        <v>108</v>
      </c>
      <c r="K666" s="8">
        <v>2571</v>
      </c>
      <c r="L666" s="11" t="s">
        <v>1209</v>
      </c>
      <c r="M666" s="39" t="s">
        <v>19</v>
      </c>
      <c r="N666" s="43" t="s">
        <v>615</v>
      </c>
      <c r="O666" s="43" t="s">
        <v>1028</v>
      </c>
    </row>
    <row r="667" spans="1:15" ht="18.75" customHeight="1">
      <c r="A667" s="5">
        <v>42183</v>
      </c>
      <c r="B667" s="18" t="s">
        <v>15</v>
      </c>
      <c r="C667" s="23" t="s">
        <v>16</v>
      </c>
      <c r="D667" s="21" t="s">
        <v>32</v>
      </c>
      <c r="E667" s="67" t="s">
        <v>1205</v>
      </c>
      <c r="F667" s="85" t="str">
        <f>HYPERLINK("https://drive.google.com/file/d/1qRg_8BV5R4YARmGx5Gy0RC7fvYSVOPEy/view?usp=drivesdk","https://drive.google.com/file/d/1qRg_8BV5R4YARmGx5Gy0RC7fvYSVOPEy/view?usp=drivesdk")</f>
        <v>https://drive.google.com/file/d/1qRg_8BV5R4YARmGx5Gy0RC7fvYSVOPEy/view?usp=drivesdk</v>
      </c>
      <c r="G667" s="21" t="s">
        <v>820</v>
      </c>
      <c r="H667" s="73" t="s">
        <v>222</v>
      </c>
      <c r="I667" s="40"/>
      <c r="J667" s="41">
        <v>69</v>
      </c>
      <c r="K667" s="41">
        <v>183</v>
      </c>
      <c r="L667" s="54">
        <v>0.21388888888888891</v>
      </c>
      <c r="M667" s="49" t="s">
        <v>102</v>
      </c>
      <c r="N667" s="43" t="s">
        <v>194</v>
      </c>
      <c r="O667" s="43" t="s">
        <v>195</v>
      </c>
    </row>
    <row r="668" spans="1:15" ht="27" customHeight="1">
      <c r="A668" s="5">
        <v>42169</v>
      </c>
      <c r="B668" s="18" t="s">
        <v>15</v>
      </c>
      <c r="C668" s="23" t="s">
        <v>16</v>
      </c>
      <c r="D668" s="21" t="s">
        <v>32</v>
      </c>
      <c r="E668" s="67" t="s">
        <v>1203</v>
      </c>
      <c r="F668" s="85" t="str">
        <f>HYPERLINK("https://drive.google.com/file/d/1UNref2UUq2p7E0F42CfRxaPOIkiU0kvz/view?usp=drivesdk","https://drive.google.com/file/d/1UNref2UUq2p7E0F42CfRxaPOIkiU0kvz/view?usp=drivesdk")</f>
        <v>https://drive.google.com/file/d/1UNref2UUq2p7E0F42CfRxaPOIkiU0kvz/view?usp=drivesdk</v>
      </c>
      <c r="G668" s="7" t="s">
        <v>1204</v>
      </c>
      <c r="H668" s="73" t="s">
        <v>222</v>
      </c>
      <c r="I668" s="40"/>
      <c r="J668" s="41">
        <v>53</v>
      </c>
      <c r="K668" s="41">
        <v>182</v>
      </c>
      <c r="L668" s="54">
        <v>0.1965277777777778</v>
      </c>
      <c r="M668" s="49" t="s">
        <v>22</v>
      </c>
      <c r="N668" s="48" t="s">
        <v>23</v>
      </c>
      <c r="O668" s="48" t="s">
        <v>24</v>
      </c>
    </row>
    <row r="669" spans="1:15" ht="40.5" customHeight="1">
      <c r="A669" s="5">
        <v>42162</v>
      </c>
      <c r="B669" s="18" t="s">
        <v>15</v>
      </c>
      <c r="C669" s="23" t="s">
        <v>16</v>
      </c>
      <c r="D669" s="7" t="s">
        <v>1199</v>
      </c>
      <c r="E669" s="67" t="s">
        <v>1200</v>
      </c>
      <c r="F669" s="85" t="str">
        <f>HYPERLINK("https://drive.google.com/file/d/13WMxosyWr-jNrTUvXVdDiuT4kS2fmI1J/view?usp=drivesdk","https://drive.google.com/file/d/13WMxosyWr-jNrTUvXVdDiuT4kS2fmI1J/view?usp=drivesdk")</f>
        <v>https://drive.google.com/file/d/13WMxosyWr-jNrTUvXVdDiuT4kS2fmI1J/view?usp=drivesdk</v>
      </c>
      <c r="G669" s="7" t="s">
        <v>1201</v>
      </c>
      <c r="H669" s="95" t="s">
        <v>3268</v>
      </c>
      <c r="I669" s="10"/>
      <c r="J669" s="8">
        <v>139</v>
      </c>
      <c r="K669" s="8">
        <v>1319</v>
      </c>
      <c r="L669" s="11" t="s">
        <v>1202</v>
      </c>
      <c r="M669" s="39" t="s">
        <v>22</v>
      </c>
      <c r="N669" s="43" t="s">
        <v>675</v>
      </c>
      <c r="O669" s="43" t="s">
        <v>879</v>
      </c>
    </row>
    <row r="670" spans="1:15" ht="27" customHeight="1">
      <c r="A670" s="5">
        <v>42161</v>
      </c>
      <c r="B670" s="18" t="s">
        <v>15</v>
      </c>
      <c r="C670" s="23" t="s">
        <v>16</v>
      </c>
      <c r="D670" s="21" t="s">
        <v>32</v>
      </c>
      <c r="E670" s="67" t="s">
        <v>1198</v>
      </c>
      <c r="F670" s="85" t="str">
        <f>HYPERLINK("https://drive.google.com/file/d/1PAt8Ytt8pQmUqz0gr7n49Tsr04bpLw44/view?usp=drivesdk","https://drive.google.com/file/d/1PAt8Ytt8pQmUqz0gr7n49Tsr04bpLw44/view?usp=drivesdk")</f>
        <v>https://drive.google.com/file/d/1PAt8Ytt8pQmUqz0gr7n49Tsr04bpLw44/view?usp=drivesdk</v>
      </c>
      <c r="G670" s="21" t="s">
        <v>820</v>
      </c>
      <c r="H670" s="73" t="s">
        <v>222</v>
      </c>
      <c r="I670" s="40"/>
      <c r="J670" s="41">
        <v>47</v>
      </c>
      <c r="K670" s="41">
        <v>254</v>
      </c>
      <c r="L670" s="46">
        <v>0.20208333333333331</v>
      </c>
      <c r="M670" s="49" t="s">
        <v>102</v>
      </c>
      <c r="N670" s="43" t="s">
        <v>194</v>
      </c>
      <c r="O670" s="43" t="s">
        <v>195</v>
      </c>
    </row>
    <row r="671" spans="1:15" ht="14.25" customHeight="1">
      <c r="A671" s="5">
        <v>42149</v>
      </c>
      <c r="B671" s="18" t="s">
        <v>15</v>
      </c>
      <c r="C671" s="23" t="s">
        <v>16</v>
      </c>
      <c r="D671" s="7" t="s">
        <v>1195</v>
      </c>
      <c r="E671" s="67" t="s">
        <v>1196</v>
      </c>
      <c r="F671" s="85" t="str">
        <f>HYPERLINK("https://drive.google.com/file/d/1PdSb3daQlGdYWw_ZtvQ-dQINpawSYBMF/view?usp=drivesdk","https://drive.google.com/file/d/1PdSb3daQlGdYWw_ZtvQ-dQINpawSYBMF/view?usp=drivesdk")</f>
        <v>https://drive.google.com/file/d/1PdSb3daQlGdYWw_ZtvQ-dQINpawSYBMF/view?usp=drivesdk</v>
      </c>
      <c r="G671" s="7" t="s">
        <v>1197</v>
      </c>
      <c r="H671" s="95" t="s">
        <v>3276</v>
      </c>
      <c r="I671" s="23" t="s">
        <v>1189</v>
      </c>
      <c r="J671" s="8">
        <v>40</v>
      </c>
      <c r="K671" s="8">
        <v>299</v>
      </c>
      <c r="L671" s="11" t="s">
        <v>1087</v>
      </c>
      <c r="M671" s="39" t="s">
        <v>22</v>
      </c>
      <c r="N671" s="43" t="s">
        <v>675</v>
      </c>
      <c r="O671" s="43" t="s">
        <v>676</v>
      </c>
    </row>
    <row r="672" spans="1:15" ht="27" customHeight="1">
      <c r="A672" s="5">
        <v>42148</v>
      </c>
      <c r="B672" s="18" t="s">
        <v>15</v>
      </c>
      <c r="C672" s="23" t="s">
        <v>16</v>
      </c>
      <c r="D672" s="7" t="s">
        <v>1191</v>
      </c>
      <c r="E672" s="67" t="s">
        <v>1192</v>
      </c>
      <c r="F672" s="85" t="str">
        <f>HYPERLINK("https://drive.google.com/file/d/1ILAnklm76yog8Hw7fB3nJAl9sheGFqUS/view?usp=drivesdk","https://drive.google.com/file/d/1ILAnklm76yog8Hw7fB3nJAl9sheGFqUS/view?usp=drivesdk")</f>
        <v>https://drive.google.com/file/d/1ILAnklm76yog8Hw7fB3nJAl9sheGFqUS/view?usp=drivesdk</v>
      </c>
      <c r="G672" s="7" t="s">
        <v>1193</v>
      </c>
      <c r="H672" s="95" t="s">
        <v>3274</v>
      </c>
      <c r="I672" s="23" t="s">
        <v>1189</v>
      </c>
      <c r="J672" s="8">
        <v>114</v>
      </c>
      <c r="K672" s="8">
        <v>1168</v>
      </c>
      <c r="L672" s="11" t="s">
        <v>1194</v>
      </c>
      <c r="M672" s="39" t="s">
        <v>22</v>
      </c>
      <c r="N672" s="43" t="s">
        <v>675</v>
      </c>
      <c r="O672" s="43" t="s">
        <v>676</v>
      </c>
    </row>
    <row r="673" spans="1:15" ht="27" customHeight="1">
      <c r="A673" s="5">
        <v>42147</v>
      </c>
      <c r="B673" s="18" t="s">
        <v>15</v>
      </c>
      <c r="C673" s="23" t="s">
        <v>16</v>
      </c>
      <c r="D673" s="7" t="s">
        <v>1186</v>
      </c>
      <c r="E673" s="67" t="s">
        <v>1187</v>
      </c>
      <c r="F673" s="85" t="str">
        <f>HYPERLINK("https://drive.google.com/file/d/1csL-asEP46b2PZOMiPXiWLbuXAlkTxh9/view?usp=drivesdk","https://drive.google.com/file/d/1csL-asEP46b2PZOMiPXiWLbuXAlkTxh9/view?usp=drivesdk")</f>
        <v>https://drive.google.com/file/d/1csL-asEP46b2PZOMiPXiWLbuXAlkTxh9/view?usp=drivesdk</v>
      </c>
      <c r="G673" s="7" t="s">
        <v>1188</v>
      </c>
      <c r="H673" s="95" t="s">
        <v>3275</v>
      </c>
      <c r="I673" s="23" t="s">
        <v>1189</v>
      </c>
      <c r="J673" s="8">
        <v>51</v>
      </c>
      <c r="K673" s="8">
        <v>500</v>
      </c>
      <c r="L673" s="11" t="s">
        <v>1190</v>
      </c>
      <c r="M673" s="39" t="s">
        <v>22</v>
      </c>
      <c r="N673" s="43" t="s">
        <v>675</v>
      </c>
      <c r="O673" s="43" t="s">
        <v>676</v>
      </c>
    </row>
    <row r="674" spans="1:15" ht="28.5" customHeight="1">
      <c r="A674" s="5">
        <v>42141</v>
      </c>
      <c r="B674" s="18" t="s">
        <v>15</v>
      </c>
      <c r="C674" s="23" t="s">
        <v>16</v>
      </c>
      <c r="D674" s="7" t="s">
        <v>1182</v>
      </c>
      <c r="E674" s="103" t="s">
        <v>1183</v>
      </c>
      <c r="F674" s="85" t="str">
        <f>HYPERLINK("https://drive.google.com/file/d/1fdFbje93wcGqd6MyH9lsslCGrn9CI05q/view?usp=drivesdk","https://drive.google.com/file/d/1fdFbje93wcGqd6MyH9lsslCGrn9CI05q/view?usp=drivesdk")</f>
        <v>https://drive.google.com/file/d/1fdFbje93wcGqd6MyH9lsslCGrn9CI05q/view?usp=drivesdk</v>
      </c>
      <c r="G674" s="7" t="s">
        <v>1184</v>
      </c>
      <c r="H674" s="95" t="s">
        <v>3229</v>
      </c>
      <c r="I674" s="10"/>
      <c r="J674" s="8">
        <v>121.3</v>
      </c>
      <c r="K674" s="8">
        <v>3228</v>
      </c>
      <c r="L674" s="11" t="s">
        <v>1185</v>
      </c>
      <c r="M674" s="39" t="s">
        <v>720</v>
      </c>
      <c r="N674" s="43" t="s">
        <v>23</v>
      </c>
      <c r="O674" s="43" t="s">
        <v>802</v>
      </c>
    </row>
    <row r="675" spans="1:15">
      <c r="A675" s="5">
        <v>42130</v>
      </c>
      <c r="B675" s="18" t="s">
        <v>15</v>
      </c>
      <c r="C675" s="23" t="s">
        <v>16</v>
      </c>
      <c r="D675" s="7" t="s">
        <v>1179</v>
      </c>
      <c r="E675" s="67" t="s">
        <v>1180</v>
      </c>
      <c r="F675" s="85" t="str">
        <f>HYPERLINK("https://drive.google.com/file/d/1kPviwKAg2OPYFWZa5tliBjeC50NDoZh9/view?usp=drivesdk","https://drive.google.com/file/d/1kPviwKAg2OPYFWZa5tliBjeC50NDoZh9/view?usp=drivesdk")</f>
        <v>https://drive.google.com/file/d/1kPviwKAg2OPYFWZa5tliBjeC50NDoZh9/view?usp=drivesdk</v>
      </c>
      <c r="G675" s="7" t="s">
        <v>3273</v>
      </c>
      <c r="H675" s="95" t="s">
        <v>3203</v>
      </c>
      <c r="I675" s="24" t="s">
        <v>40</v>
      </c>
      <c r="J675" s="8">
        <v>25</v>
      </c>
      <c r="K675" s="8">
        <v>281</v>
      </c>
      <c r="L675" s="11" t="s">
        <v>1181</v>
      </c>
      <c r="M675" s="39" t="s">
        <v>22</v>
      </c>
      <c r="N675" s="43" t="s">
        <v>675</v>
      </c>
      <c r="O675" s="43" t="s">
        <v>879</v>
      </c>
    </row>
    <row r="676" spans="1:15" ht="54">
      <c r="A676" s="5">
        <v>42127</v>
      </c>
      <c r="B676" s="18" t="s">
        <v>15</v>
      </c>
      <c r="C676" s="23" t="s">
        <v>223</v>
      </c>
      <c r="D676" s="7" t="s">
        <v>1175</v>
      </c>
      <c r="E676" s="67" t="s">
        <v>1176</v>
      </c>
      <c r="F676" s="85" t="str">
        <f>HYPERLINK("https://drive.google.com/file/d/1oT-F_qW7M4-MWRHCVf7yE65OL_S6Gvmr/view?usp=drivesdk","https://drive.google.com/file/d/1oT-F_qW7M4-MWRHCVf7yE65OL_S6Gvmr/view?usp=drivesdk")</f>
        <v>https://drive.google.com/file/d/1oT-F_qW7M4-MWRHCVf7yE65OL_S6Gvmr/view?usp=drivesdk</v>
      </c>
      <c r="G676" s="7" t="s">
        <v>1177</v>
      </c>
      <c r="H676" s="97" t="s">
        <v>3272</v>
      </c>
      <c r="I676" s="23"/>
      <c r="J676" s="8">
        <v>86</v>
      </c>
      <c r="K676" s="8">
        <v>1920</v>
      </c>
      <c r="L676" s="11" t="s">
        <v>1178</v>
      </c>
      <c r="M676" s="39" t="s">
        <v>720</v>
      </c>
      <c r="N676" s="43" t="s">
        <v>23</v>
      </c>
      <c r="O676" s="43" t="s">
        <v>802</v>
      </c>
    </row>
    <row r="677" spans="1:15" ht="14.25" customHeight="1">
      <c r="A677" s="5">
        <v>42126</v>
      </c>
      <c r="B677" s="18" t="s">
        <v>15</v>
      </c>
      <c r="C677" s="23" t="s">
        <v>16</v>
      </c>
      <c r="D677" s="7" t="s">
        <v>753</v>
      </c>
      <c r="E677" s="68" t="s">
        <v>1172</v>
      </c>
      <c r="F677" s="85" t="str">
        <f>HYPERLINK("https://drive.google.com/file/d/1yb5GsM0NP_ZyOtA-ybJuaUzHS5djXdhO/view?usp=drivesdk","https://drive.google.com/file/d/1yb5GsM0NP_ZyOtA-ybJuaUzHS5djXdhO/view?usp=drivesdk")</f>
        <v>https://drive.google.com/file/d/1yb5GsM0NP_ZyOtA-ybJuaUzHS5djXdhO/view?usp=drivesdk</v>
      </c>
      <c r="G677" s="7" t="s">
        <v>1173</v>
      </c>
      <c r="H677" s="97" t="s">
        <v>3272</v>
      </c>
      <c r="I677" s="10"/>
      <c r="J677" s="8">
        <v>92</v>
      </c>
      <c r="K677" s="8">
        <v>2200</v>
      </c>
      <c r="L677" s="11" t="s">
        <v>1174</v>
      </c>
      <c r="M677" s="39" t="s">
        <v>22</v>
      </c>
      <c r="N677" s="43" t="s">
        <v>675</v>
      </c>
      <c r="O677" s="43" t="s">
        <v>879</v>
      </c>
    </row>
    <row r="678" spans="1:15" ht="40.5" customHeight="1">
      <c r="A678" s="5">
        <v>42125</v>
      </c>
      <c r="B678" s="18" t="s">
        <v>15</v>
      </c>
      <c r="C678" s="23" t="s">
        <v>16</v>
      </c>
      <c r="D678" s="7" t="s">
        <v>1168</v>
      </c>
      <c r="E678" s="68" t="s">
        <v>1169</v>
      </c>
      <c r="F678" s="85" t="str">
        <f>HYPERLINK("https://drive.google.com/file/d/1jE3lI1OQrCVPuzyHEpUxx3SPgd3YQUzK/view?usp=drivesdk","https://drive.google.com/file/d/1jE3lI1OQrCVPuzyHEpUxx3SPgd3YQUzK/view?usp=drivesdk")</f>
        <v>https://drive.google.com/file/d/1jE3lI1OQrCVPuzyHEpUxx3SPgd3YQUzK/view?usp=drivesdk</v>
      </c>
      <c r="G678" s="7" t="s">
        <v>1170</v>
      </c>
      <c r="H678" s="95" t="s">
        <v>3200</v>
      </c>
      <c r="I678" s="10"/>
      <c r="J678" s="8">
        <v>120</v>
      </c>
      <c r="K678" s="8">
        <v>2230</v>
      </c>
      <c r="L678" s="11" t="s">
        <v>1171</v>
      </c>
      <c r="M678" s="39" t="s">
        <v>22</v>
      </c>
      <c r="N678" s="43" t="s">
        <v>675</v>
      </c>
      <c r="O678" s="43" t="s">
        <v>879</v>
      </c>
    </row>
    <row r="679" spans="1:15">
      <c r="A679" s="5">
        <v>42119</v>
      </c>
      <c r="B679" s="18" t="s">
        <v>15</v>
      </c>
      <c r="C679" s="23" t="s">
        <v>16</v>
      </c>
      <c r="D679" s="7" t="s">
        <v>1164</v>
      </c>
      <c r="E679" s="67" t="s">
        <v>1165</v>
      </c>
      <c r="F679" s="85" t="str">
        <f>HYPERLINK("https://drive.google.com/file/d/1UoNhXKgp0BE0Z8_sHdQZCN1-s1T1fisG/view?usp=drivesdk","https://drive.google.com/file/d/1UoNhXKgp0BE0Z8_sHdQZCN1-s1T1fisG/view?usp=drivesdk")</f>
        <v>https://drive.google.com/file/d/1UoNhXKgp0BE0Z8_sHdQZCN1-s1T1fisG/view?usp=drivesdk</v>
      </c>
      <c r="G679" s="7" t="s">
        <v>1166</v>
      </c>
      <c r="H679" s="95" t="s">
        <v>3215</v>
      </c>
      <c r="I679" s="10"/>
      <c r="J679" s="8">
        <v>60</v>
      </c>
      <c r="K679" s="8">
        <v>900</v>
      </c>
      <c r="L679" s="11" t="s">
        <v>1167</v>
      </c>
      <c r="M679" s="39" t="s">
        <v>22</v>
      </c>
      <c r="N679" s="43" t="s">
        <v>675</v>
      </c>
      <c r="O679" s="43" t="s">
        <v>676</v>
      </c>
    </row>
    <row r="680" spans="1:15" ht="27" customHeight="1">
      <c r="A680" s="5">
        <v>42113</v>
      </c>
      <c r="B680" s="18" t="s">
        <v>15</v>
      </c>
      <c r="C680" s="23" t="s">
        <v>16</v>
      </c>
      <c r="D680" s="7" t="s">
        <v>1161</v>
      </c>
      <c r="E680" s="68" t="s">
        <v>1162</v>
      </c>
      <c r="F680" s="85" t="str">
        <f>HYPERLINK("https://drive.google.com/file/d/1sIuxgmBoKKh1l0JWw_H6A0JWIbs0Zl2k/view?usp=drivesdk","https://drive.google.com/file/d/1sIuxgmBoKKh1l0JWw_H6A0JWIbs0Zl2k/view?usp=drivesdk")</f>
        <v>https://drive.google.com/file/d/1sIuxgmBoKKh1l0JWw_H6A0JWIbs0Zl2k/view?usp=drivesdk</v>
      </c>
      <c r="G680" s="7" t="s">
        <v>3271</v>
      </c>
      <c r="H680" s="95" t="s">
        <v>3209</v>
      </c>
      <c r="I680" s="10"/>
      <c r="J680" s="8">
        <v>75</v>
      </c>
      <c r="K680" s="8">
        <v>499</v>
      </c>
      <c r="L680" s="11" t="s">
        <v>1163</v>
      </c>
      <c r="M680" s="39" t="s">
        <v>720</v>
      </c>
      <c r="N680" s="43" t="s">
        <v>23</v>
      </c>
      <c r="O680" s="43" t="s">
        <v>802</v>
      </c>
    </row>
    <row r="681" spans="1:15" ht="27">
      <c r="A681" s="5">
        <v>42112</v>
      </c>
      <c r="B681" s="18" t="s">
        <v>15</v>
      </c>
      <c r="C681" s="23" t="s">
        <v>16</v>
      </c>
      <c r="D681" s="7" t="s">
        <v>1157</v>
      </c>
      <c r="E681" s="67" t="s">
        <v>1158</v>
      </c>
      <c r="F681" s="85" t="str">
        <f>HYPERLINK("https://drive.google.com/file/d/1c2pmZ3kuu2130Vguur2J80MSD59afNUX/view?usp=drivesdk","https://drive.google.com/file/d/1c2pmZ3kuu2130Vguur2J80MSD59afNUX/view?usp=drivesdk")</f>
        <v>https://drive.google.com/file/d/1c2pmZ3kuu2130Vguur2J80MSD59afNUX/view?usp=drivesdk</v>
      </c>
      <c r="G681" s="7" t="s">
        <v>1159</v>
      </c>
      <c r="H681" s="95" t="s">
        <v>3209</v>
      </c>
      <c r="I681" s="24" t="s">
        <v>40</v>
      </c>
      <c r="J681" s="8">
        <v>143</v>
      </c>
      <c r="K681" s="8">
        <v>2044</v>
      </c>
      <c r="L681" s="11" t="s">
        <v>1160</v>
      </c>
      <c r="M681" s="39" t="s">
        <v>22</v>
      </c>
      <c r="N681" s="43" t="s">
        <v>675</v>
      </c>
      <c r="O681" s="43" t="s">
        <v>879</v>
      </c>
    </row>
    <row r="682" spans="1:15" ht="27" customHeight="1">
      <c r="A682" s="5">
        <v>42106</v>
      </c>
      <c r="B682" s="18" t="s">
        <v>15</v>
      </c>
      <c r="C682" s="23" t="s">
        <v>16</v>
      </c>
      <c r="D682" s="7" t="s">
        <v>1153</v>
      </c>
      <c r="E682" s="68" t="s">
        <v>1154</v>
      </c>
      <c r="F682" s="85" t="str">
        <f>HYPERLINK("https://drive.google.com/file/d/1B2RvI6uHQqsHTB10JFfXejNsNppBZIbG/view?usp=drivesdk","https://drive.google.com/file/d/1B2RvI6uHQqsHTB10JFfXejNsNppBZIbG/view?usp=drivesdk")</f>
        <v>https://drive.google.com/file/d/1B2RvI6uHQqsHTB10JFfXejNsNppBZIbG/view?usp=drivesdk</v>
      </c>
      <c r="G682" s="7" t="s">
        <v>1155</v>
      </c>
      <c r="H682" s="95" t="s">
        <v>3225</v>
      </c>
      <c r="I682" s="10"/>
      <c r="J682" s="8">
        <v>86</v>
      </c>
      <c r="K682" s="8">
        <v>1970</v>
      </c>
      <c r="L682" s="11" t="s">
        <v>1156</v>
      </c>
      <c r="M682" s="39" t="s">
        <v>22</v>
      </c>
      <c r="N682" s="43" t="s">
        <v>675</v>
      </c>
      <c r="O682" s="43" t="s">
        <v>879</v>
      </c>
    </row>
    <row r="683" spans="1:15">
      <c r="A683" s="5">
        <v>42100</v>
      </c>
      <c r="B683" s="18" t="s">
        <v>15</v>
      </c>
      <c r="C683" s="23" t="s">
        <v>16</v>
      </c>
      <c r="D683" s="7" t="s">
        <v>1150</v>
      </c>
      <c r="E683" s="67" t="s">
        <v>1151</v>
      </c>
      <c r="F683" s="85" t="str">
        <f>HYPERLINK("https://drive.google.com/file/d/1eXiObQz2PDQ8cUW8Q_pTcoN0DlxdKTPu/view?usp=drivesdk","https://drive.google.com/file/d/1eXiObQz2PDQ8cUW8Q_pTcoN0DlxdKTPu/view?usp=drivesdk")</f>
        <v>https://drive.google.com/file/d/1eXiObQz2PDQ8cUW8Q_pTcoN0DlxdKTPu/view?usp=drivesdk</v>
      </c>
      <c r="G683" s="7" t="s">
        <v>1152</v>
      </c>
      <c r="H683" s="95" t="s">
        <v>3193</v>
      </c>
      <c r="I683" s="10"/>
      <c r="J683" s="8">
        <v>51</v>
      </c>
      <c r="K683" s="8">
        <v>630</v>
      </c>
      <c r="L683" s="54">
        <v>0.1541666666666667</v>
      </c>
      <c r="M683" s="39" t="s">
        <v>22</v>
      </c>
      <c r="N683" s="43" t="s">
        <v>675</v>
      </c>
      <c r="O683" s="43" t="s">
        <v>879</v>
      </c>
    </row>
    <row r="684" spans="1:15" ht="67.5">
      <c r="A684" s="5">
        <v>42098</v>
      </c>
      <c r="B684" s="18" t="s">
        <v>15</v>
      </c>
      <c r="C684" s="35" t="s">
        <v>16</v>
      </c>
      <c r="D684" s="7" t="s">
        <v>1146</v>
      </c>
      <c r="E684" s="67" t="s">
        <v>1147</v>
      </c>
      <c r="F684" s="85" t="str">
        <f>HYPERLINK("https://drive.google.com/file/d/1bUvuDKhz-aowbgraRawSlL6_BA_4BCsf/view?usp=drivesdk","https://drive.google.com/file/d/1bUvuDKhz-aowbgraRawSlL6_BA_4BCsf/view?usp=drivesdk")</f>
        <v>https://drive.google.com/file/d/1bUvuDKhz-aowbgraRawSlL6_BA_4BCsf/view?usp=drivesdk</v>
      </c>
      <c r="G684" s="7" t="s">
        <v>1148</v>
      </c>
      <c r="H684" s="95" t="s">
        <v>3215</v>
      </c>
      <c r="I684" s="10"/>
      <c r="J684" s="8">
        <v>100</v>
      </c>
      <c r="K684" s="8">
        <v>2329</v>
      </c>
      <c r="L684" s="11" t="s">
        <v>1149</v>
      </c>
      <c r="M684" s="39" t="s">
        <v>22</v>
      </c>
      <c r="N684" s="43" t="s">
        <v>675</v>
      </c>
      <c r="O684" s="43" t="s">
        <v>879</v>
      </c>
    </row>
    <row r="685" spans="1:15" ht="27" customHeight="1">
      <c r="A685" s="5">
        <v>42095</v>
      </c>
      <c r="B685" s="18" t="s">
        <v>15</v>
      </c>
      <c r="C685" s="35" t="s">
        <v>16</v>
      </c>
      <c r="D685" s="7" t="s">
        <v>1144</v>
      </c>
      <c r="E685" s="105"/>
      <c r="G685" s="7" t="s">
        <v>1145</v>
      </c>
      <c r="H685" s="95" t="s">
        <v>3208</v>
      </c>
      <c r="I685" s="24" t="s">
        <v>40</v>
      </c>
      <c r="J685" s="8">
        <v>16</v>
      </c>
      <c r="K685" s="8"/>
      <c r="L685" s="11"/>
      <c r="M685" s="39" t="s">
        <v>22</v>
      </c>
      <c r="N685" s="43" t="s">
        <v>675</v>
      </c>
      <c r="O685" s="43" t="s">
        <v>879</v>
      </c>
    </row>
    <row r="686" spans="1:15" ht="54">
      <c r="A686" s="5">
        <v>42092</v>
      </c>
      <c r="B686" s="18" t="s">
        <v>15</v>
      </c>
      <c r="C686" s="23" t="s">
        <v>16</v>
      </c>
      <c r="D686" s="7" t="s">
        <v>1140</v>
      </c>
      <c r="E686" s="67" t="s">
        <v>1141</v>
      </c>
      <c r="F686" s="85" t="str">
        <f>HYPERLINK("https://drive.google.com/file/d/15vznmPBpbdLjdMu05M3Y8FtBO6DM1HVP/view?usp=drivesdk","https://drive.google.com/file/d/15vznmPBpbdLjdMu05M3Y8FtBO6DM1HVP/view?usp=drivesdk")</f>
        <v>https://drive.google.com/file/d/15vznmPBpbdLjdMu05M3Y8FtBO6DM1HVP/view?usp=drivesdk</v>
      </c>
      <c r="G686" s="7" t="s">
        <v>1142</v>
      </c>
      <c r="H686" s="95" t="s">
        <v>3215</v>
      </c>
      <c r="I686" s="10"/>
      <c r="J686" s="8">
        <v>58</v>
      </c>
      <c r="K686" s="8">
        <v>1200</v>
      </c>
      <c r="L686" s="11" t="s">
        <v>1143</v>
      </c>
      <c r="M686" s="39" t="s">
        <v>22</v>
      </c>
      <c r="N686" s="43" t="s">
        <v>675</v>
      </c>
      <c r="O686" s="43" t="s">
        <v>879</v>
      </c>
    </row>
    <row r="687" spans="1:15" ht="67.5">
      <c r="A687" s="5">
        <v>42085</v>
      </c>
      <c r="B687" s="18" t="s">
        <v>15</v>
      </c>
      <c r="C687" s="23" t="s">
        <v>16</v>
      </c>
      <c r="D687" s="7" t="s">
        <v>1136</v>
      </c>
      <c r="E687" s="67" t="s">
        <v>1137</v>
      </c>
      <c r="F687" s="85" t="str">
        <f>HYPERLINK("https://drive.google.com/file/d/1rHlisJkgOXEGRiEZzXo0IiYwUISP7_dY/view?usp=drivesdk","https://drive.google.com/file/d/1rHlisJkgOXEGRiEZzXo0IiYwUISP7_dY/view?usp=drivesdk")</f>
        <v>https://drive.google.com/file/d/1rHlisJkgOXEGRiEZzXo0IiYwUISP7_dY/view?usp=drivesdk</v>
      </c>
      <c r="G687" s="7" t="s">
        <v>1138</v>
      </c>
      <c r="H687" s="95" t="s">
        <v>3209</v>
      </c>
      <c r="I687" s="10"/>
      <c r="J687" s="8">
        <v>100</v>
      </c>
      <c r="K687" s="8">
        <v>1613</v>
      </c>
      <c r="L687" s="11" t="s">
        <v>1139</v>
      </c>
      <c r="M687" s="39" t="s">
        <v>22</v>
      </c>
      <c r="N687" s="43" t="s">
        <v>675</v>
      </c>
      <c r="O687" s="43" t="s">
        <v>879</v>
      </c>
    </row>
    <row r="688" spans="1:15" ht="27" customHeight="1">
      <c r="A688" s="5">
        <v>42084</v>
      </c>
      <c r="B688" s="18" t="s">
        <v>15</v>
      </c>
      <c r="C688" s="23" t="s">
        <v>223</v>
      </c>
      <c r="D688" s="7" t="s">
        <v>1132</v>
      </c>
      <c r="E688" s="67" t="s">
        <v>1133</v>
      </c>
      <c r="F688" s="85" t="str">
        <f>HYPERLINK("https://drive.google.com/file/d/1-WmV-qEZFZcdZu9H60LAd4MRE4SOCvtQ/view?usp=drivesdk","https://drive.google.com/file/d/1-WmV-qEZFZcdZu9H60LAd4MRE4SOCvtQ/view?usp=drivesdk")</f>
        <v>https://drive.google.com/file/d/1-WmV-qEZFZcdZu9H60LAd4MRE4SOCvtQ/view?usp=drivesdk</v>
      </c>
      <c r="G688" s="7" t="s">
        <v>1134</v>
      </c>
      <c r="H688" s="95" t="s">
        <v>3215</v>
      </c>
      <c r="I688" s="23"/>
      <c r="J688" s="8">
        <v>72</v>
      </c>
      <c r="K688" s="8">
        <v>1781</v>
      </c>
      <c r="L688" s="11" t="s">
        <v>1135</v>
      </c>
      <c r="M688" s="39" t="s">
        <v>720</v>
      </c>
      <c r="N688" s="43" t="s">
        <v>23</v>
      </c>
      <c r="O688" s="43" t="s">
        <v>802</v>
      </c>
    </row>
    <row r="689" spans="1:15" ht="27" customHeight="1">
      <c r="A689" s="5">
        <v>42078</v>
      </c>
      <c r="B689" s="18" t="s">
        <v>15</v>
      </c>
      <c r="C689" s="23" t="s">
        <v>16</v>
      </c>
      <c r="D689" s="7" t="s">
        <v>1129</v>
      </c>
      <c r="E689" s="67" t="s">
        <v>1130</v>
      </c>
      <c r="F689" s="85" t="str">
        <f>HYPERLINK("https://drive.google.com/file/d/1g8EgqTUcFAiATf_wXeVI2Hn13dNQJd_p/view?usp=drivesdk","https://drive.google.com/file/d/1g8EgqTUcFAiATf_wXeVI2Hn13dNQJd_p/view?usp=drivesdk")</f>
        <v>https://drive.google.com/file/d/1g8EgqTUcFAiATf_wXeVI2Hn13dNQJd_p/view?usp=drivesdk</v>
      </c>
      <c r="G689" s="7" t="s">
        <v>3270</v>
      </c>
      <c r="H689" s="73" t="s">
        <v>222</v>
      </c>
      <c r="I689" s="25" t="s">
        <v>629</v>
      </c>
      <c r="J689" s="8">
        <v>42</v>
      </c>
      <c r="K689" s="8">
        <v>124</v>
      </c>
      <c r="L689" s="11" t="s">
        <v>1131</v>
      </c>
      <c r="M689" s="39" t="s">
        <v>102</v>
      </c>
      <c r="N689" s="43" t="s">
        <v>615</v>
      </c>
      <c r="O689" s="43" t="s">
        <v>616</v>
      </c>
    </row>
    <row r="690" spans="1:15" ht="67.5">
      <c r="A690" s="5">
        <v>42071</v>
      </c>
      <c r="B690" s="18" t="s">
        <v>15</v>
      </c>
      <c r="C690" s="23" t="s">
        <v>16</v>
      </c>
      <c r="D690" s="7" t="s">
        <v>1126</v>
      </c>
      <c r="E690" s="67" t="s">
        <v>1127</v>
      </c>
      <c r="F690" s="85" t="str">
        <f>HYPERLINK("https://drive.google.com/file/d/1632_odT3QmT870-jyR35QCRMJY2Z3Gmu/view?usp=drivesdk","https://drive.google.com/file/d/1632_odT3QmT870-jyR35QCRMJY2Z3Gmu/view?usp=drivesdk")</f>
        <v>https://drive.google.com/file/d/1632_odT3QmT870-jyR35QCRMJY2Z3Gmu/view?usp=drivesdk</v>
      </c>
      <c r="G690" s="7" t="s">
        <v>1128</v>
      </c>
      <c r="H690" s="95" t="s">
        <v>3225</v>
      </c>
      <c r="I690" s="10"/>
      <c r="J690" s="8">
        <v>66</v>
      </c>
      <c r="K690" s="8">
        <v>630</v>
      </c>
      <c r="L690" s="11" t="s">
        <v>1077</v>
      </c>
      <c r="M690" s="39" t="s">
        <v>22</v>
      </c>
      <c r="N690" s="43" t="s">
        <v>675</v>
      </c>
      <c r="O690" s="43" t="s">
        <v>879</v>
      </c>
    </row>
    <row r="691" spans="1:15" ht="27" customHeight="1">
      <c r="A691" s="5">
        <v>42063</v>
      </c>
      <c r="B691" s="18" t="s">
        <v>15</v>
      </c>
      <c r="C691" s="23" t="s">
        <v>16</v>
      </c>
      <c r="D691" s="7" t="s">
        <v>948</v>
      </c>
      <c r="E691" s="67" t="s">
        <v>1123</v>
      </c>
      <c r="F691" s="85" t="str">
        <f>HYPERLINK("https://drive.google.com/file/d/19JhxblD9tK4N8HmVGSc6TAjpmjzMiL8o/view?usp=drivesdk","https://drive.google.com/file/d/19JhxblD9tK4N8HmVGSc6TAjpmjzMiL8o/view?usp=drivesdk")</f>
        <v>https://drive.google.com/file/d/19JhxblD9tK4N8HmVGSc6TAjpmjzMiL8o/view?usp=drivesdk</v>
      </c>
      <c r="G691" s="7" t="s">
        <v>1124</v>
      </c>
      <c r="H691" s="95" t="s">
        <v>3344</v>
      </c>
      <c r="I691" s="24" t="s">
        <v>40</v>
      </c>
      <c r="J691" s="8">
        <v>188</v>
      </c>
      <c r="K691" s="8">
        <v>1062</v>
      </c>
      <c r="L691" s="11" t="s">
        <v>1125</v>
      </c>
      <c r="M691" s="39" t="s">
        <v>720</v>
      </c>
      <c r="N691" s="43" t="s">
        <v>23</v>
      </c>
      <c r="O691" s="43" t="s">
        <v>802</v>
      </c>
    </row>
    <row r="692" spans="1:15" ht="40.5" customHeight="1">
      <c r="A692" s="5">
        <v>42057</v>
      </c>
      <c r="B692" s="18" t="s">
        <v>15</v>
      </c>
      <c r="C692" s="23" t="s">
        <v>16</v>
      </c>
      <c r="D692" s="7" t="s">
        <v>1119</v>
      </c>
      <c r="E692" s="67" t="s">
        <v>1120</v>
      </c>
      <c r="F692" s="85" t="str">
        <f>HYPERLINK("https://drive.google.com/file/d/1JZREcd0FJADt3tfM08jiurVll5iZV2yY/view?usp=drivesdk","https://drive.google.com/file/d/1JZREcd0FJADt3tfM08jiurVll5iZV2yY/view?usp=drivesdk")</f>
        <v>https://drive.google.com/file/d/1JZREcd0FJADt3tfM08jiurVll5iZV2yY/view?usp=drivesdk</v>
      </c>
      <c r="G692" s="7" t="s">
        <v>1121</v>
      </c>
      <c r="H692" s="95" t="s">
        <v>3209</v>
      </c>
      <c r="I692" s="10"/>
      <c r="J692" s="8">
        <v>34</v>
      </c>
      <c r="K692" s="8">
        <v>107</v>
      </c>
      <c r="L692" s="11" t="s">
        <v>1122</v>
      </c>
      <c r="M692" s="39" t="s">
        <v>720</v>
      </c>
      <c r="N692" s="43" t="s">
        <v>23</v>
      </c>
      <c r="O692" s="43" t="s">
        <v>802</v>
      </c>
    </row>
    <row r="693" spans="1:15" ht="121.5">
      <c r="A693" s="5">
        <v>42056</v>
      </c>
      <c r="B693" s="18" t="s">
        <v>15</v>
      </c>
      <c r="C693" s="23" t="s">
        <v>16</v>
      </c>
      <c r="D693" s="7" t="s">
        <v>1115</v>
      </c>
      <c r="E693" s="67" t="s">
        <v>1116</v>
      </c>
      <c r="F693" s="85" t="str">
        <f>HYPERLINK("https://drive.google.com/file/d/1S3d5HhZ14MiZDOWduNnmOTxi27nV5IBM/view?usp=drivesdk","https://drive.google.com/file/d/1S3d5HhZ14MiZDOWduNnmOTxi27nV5IBM/view?usp=drivesdk")</f>
        <v>https://drive.google.com/file/d/1S3d5HhZ14MiZDOWduNnmOTxi27nV5IBM/view?usp=drivesdk</v>
      </c>
      <c r="G693" s="7" t="s">
        <v>1117</v>
      </c>
      <c r="H693" s="95" t="s">
        <v>3209</v>
      </c>
      <c r="I693" s="10"/>
      <c r="J693" s="8">
        <v>73</v>
      </c>
      <c r="K693" s="8">
        <v>1014</v>
      </c>
      <c r="L693" s="11" t="s">
        <v>1118</v>
      </c>
      <c r="M693" s="39" t="s">
        <v>720</v>
      </c>
      <c r="N693" s="43" t="s">
        <v>23</v>
      </c>
      <c r="O693" s="43" t="s">
        <v>802</v>
      </c>
    </row>
    <row r="694" spans="1:15">
      <c r="A694" s="5">
        <v>42050</v>
      </c>
      <c r="B694" s="18" t="s">
        <v>15</v>
      </c>
      <c r="C694" s="23" t="s">
        <v>223</v>
      </c>
      <c r="D694" s="7" t="s">
        <v>730</v>
      </c>
      <c r="E694" s="68" t="s">
        <v>1114</v>
      </c>
      <c r="F694" s="85" t="str">
        <f>HYPERLINK("https://drive.google.com/file/d/1felXZ8hdbjq2jmJbMyDhLt2MzXexPk7K/view?usp=drivesdk","https://drive.google.com/file/d/1felXZ8hdbjq2jmJbMyDhLt2MzXexPk7K/view?usp=drivesdk")</f>
        <v>https://drive.google.com/file/d/1felXZ8hdbjq2jmJbMyDhLt2MzXexPk7K/view?usp=drivesdk</v>
      </c>
      <c r="G694" s="7" t="s">
        <v>727</v>
      </c>
      <c r="H694" s="95" t="s">
        <v>3209</v>
      </c>
      <c r="I694" s="40"/>
      <c r="J694" s="41">
        <v>45</v>
      </c>
      <c r="K694" s="41">
        <v>664</v>
      </c>
      <c r="L694" s="54">
        <v>0.14861111111111111</v>
      </c>
      <c r="M694" s="39" t="s">
        <v>720</v>
      </c>
      <c r="N694" s="43" t="s">
        <v>23</v>
      </c>
      <c r="O694" s="43" t="s">
        <v>802</v>
      </c>
    </row>
    <row r="695" spans="1:15" ht="28.5" customHeight="1">
      <c r="A695" s="5">
        <v>42046</v>
      </c>
      <c r="B695" s="18" t="s">
        <v>15</v>
      </c>
      <c r="C695" s="23" t="s">
        <v>16</v>
      </c>
      <c r="D695" s="7" t="s">
        <v>184</v>
      </c>
      <c r="E695" s="67" t="s">
        <v>1111</v>
      </c>
      <c r="F695" s="85" t="str">
        <f>HYPERLINK("https://drive.google.com/file/d/1l0iCUPqONBms9uHuaFCRUAj2qNnC303V/view?usp=drivesdk","https://drive.google.com/file/d/1l0iCUPqONBms9uHuaFCRUAj2qNnC303V/view?usp=drivesdk")</f>
        <v>https://drive.google.com/file/d/1l0iCUPqONBms9uHuaFCRUAj2qNnC303V/view?usp=drivesdk</v>
      </c>
      <c r="G695" s="7" t="s">
        <v>1112</v>
      </c>
      <c r="H695" s="97" t="s">
        <v>3269</v>
      </c>
      <c r="I695" s="10"/>
      <c r="J695" s="8">
        <v>113</v>
      </c>
      <c r="K695" s="8">
        <v>889</v>
      </c>
      <c r="L695" s="11" t="s">
        <v>1113</v>
      </c>
      <c r="M695" s="39" t="s">
        <v>720</v>
      </c>
      <c r="N695" s="43" t="s">
        <v>23</v>
      </c>
      <c r="O695" s="43" t="s">
        <v>802</v>
      </c>
    </row>
    <row r="696" spans="1:15" ht="40.5" customHeight="1">
      <c r="A696" s="5">
        <v>42036</v>
      </c>
      <c r="B696" s="18" t="s">
        <v>15</v>
      </c>
      <c r="C696" s="23" t="s">
        <v>196</v>
      </c>
      <c r="D696" s="7" t="s">
        <v>1107</v>
      </c>
      <c r="E696" s="67" t="s">
        <v>1108</v>
      </c>
      <c r="F696" s="85" t="str">
        <f>HYPERLINK("https://drive.google.com/file/d/1WTYugF6bzhr6B0YHIBrdjpgHj0xMFoiQ/view?usp=drivesdk","https://drive.google.com/file/d/1WTYugF6bzhr6B0YHIBrdjpgHj0xMFoiQ/view?usp=drivesdk")</f>
        <v>https://drive.google.com/file/d/1WTYugF6bzhr6B0YHIBrdjpgHj0xMFoiQ/view?usp=drivesdk</v>
      </c>
      <c r="G696" s="7" t="s">
        <v>1109</v>
      </c>
      <c r="H696" s="95" t="s">
        <v>3215</v>
      </c>
      <c r="I696" s="10"/>
      <c r="J696" s="8">
        <v>58</v>
      </c>
      <c r="K696" s="8">
        <v>1358</v>
      </c>
      <c r="L696" s="11" t="s">
        <v>1110</v>
      </c>
      <c r="M696" s="39" t="s">
        <v>19</v>
      </c>
      <c r="N696" s="43" t="s">
        <v>615</v>
      </c>
      <c r="O696" s="43" t="s">
        <v>1028</v>
      </c>
    </row>
    <row r="697" spans="1:15" ht="54" customHeight="1">
      <c r="A697" s="5">
        <v>42029</v>
      </c>
      <c r="B697" s="62" t="s">
        <v>246</v>
      </c>
      <c r="C697" s="23" t="s">
        <v>196</v>
      </c>
      <c r="D697" s="7" t="s">
        <v>1103</v>
      </c>
      <c r="E697" s="67" t="s">
        <v>1104</v>
      </c>
      <c r="F697" s="85" t="str">
        <f>HYPERLINK("https://drive.google.com/file/d/1xXiIpaaK8B_rNWYb56k9ZOwGUWKHrlNS/view?usp=drivesdk","https://drive.google.com/file/d/1xXiIpaaK8B_rNWYb56k9ZOwGUWKHrlNS/view?usp=drivesdk")</f>
        <v>https://drive.google.com/file/d/1xXiIpaaK8B_rNWYb56k9ZOwGUWKHrlNS/view?usp=drivesdk</v>
      </c>
      <c r="G697" s="7" t="s">
        <v>1105</v>
      </c>
      <c r="H697" s="95" t="s">
        <v>3215</v>
      </c>
      <c r="I697" s="10"/>
      <c r="J697" s="8">
        <v>40</v>
      </c>
      <c r="K697" s="8">
        <v>885</v>
      </c>
      <c r="L697" s="11" t="s">
        <v>1106</v>
      </c>
      <c r="M697" s="39" t="s">
        <v>19</v>
      </c>
      <c r="N697" s="43" t="s">
        <v>294</v>
      </c>
      <c r="O697" s="43" t="s">
        <v>295</v>
      </c>
    </row>
    <row r="698" spans="1:15" ht="40.5" customHeight="1">
      <c r="A698" s="5">
        <v>42022</v>
      </c>
      <c r="B698" s="18" t="s">
        <v>15</v>
      </c>
      <c r="C698" s="23" t="s">
        <v>196</v>
      </c>
      <c r="D698" s="7" t="s">
        <v>1099</v>
      </c>
      <c r="E698" s="67" t="s">
        <v>1100</v>
      </c>
      <c r="F698" s="85" t="str">
        <f>HYPERLINK("https://drive.google.com/file/d/1PYuFohSn-K1g_2DZA0mc-WBN1o8Vaz_f/view?usp=drivesdk","https://drive.google.com/file/d/1PYuFohSn-K1g_2DZA0mc-WBN1o8Vaz_f/view?usp=drivesdk")</f>
        <v>https://drive.google.com/file/d/1PYuFohSn-K1g_2DZA0mc-WBN1o8Vaz_f/view?usp=drivesdk</v>
      </c>
      <c r="G698" s="7" t="s">
        <v>1101</v>
      </c>
      <c r="H698" s="95" t="s">
        <v>3208</v>
      </c>
      <c r="I698" s="22"/>
      <c r="J698" s="8">
        <v>90</v>
      </c>
      <c r="K698" s="8">
        <v>1685</v>
      </c>
      <c r="L698" s="11" t="s">
        <v>1102</v>
      </c>
      <c r="M698" s="39" t="s">
        <v>19</v>
      </c>
      <c r="N698" s="43" t="s">
        <v>294</v>
      </c>
      <c r="O698" s="43" t="s">
        <v>295</v>
      </c>
    </row>
    <row r="699" spans="1:15" ht="40.5" customHeight="1">
      <c r="A699" s="5">
        <v>42016</v>
      </c>
      <c r="B699" s="18" t="s">
        <v>15</v>
      </c>
      <c r="C699" s="34" t="s">
        <v>16</v>
      </c>
      <c r="D699" s="7" t="s">
        <v>1095</v>
      </c>
      <c r="E699" s="67" t="s">
        <v>1096</v>
      </c>
      <c r="F699" s="85" t="str">
        <f>HYPERLINK("https://drive.google.com/file/d/1t0orZEXfjouA8fly1GWDv1p2qIYBg97a/view?usp=drivesdk","https://drive.google.com/file/d/1t0orZEXfjouA8fly1GWDv1p2qIYBg97a/view?usp=drivesdk")</f>
        <v>https://drive.google.com/file/d/1t0orZEXfjouA8fly1GWDv1p2qIYBg97a/view?usp=drivesdk</v>
      </c>
      <c r="G699" s="7" t="s">
        <v>1097</v>
      </c>
      <c r="H699" s="95" t="s">
        <v>3213</v>
      </c>
      <c r="I699" s="10"/>
      <c r="J699" s="8">
        <v>66</v>
      </c>
      <c r="K699" s="8">
        <v>1116</v>
      </c>
      <c r="L699" s="11" t="s">
        <v>1098</v>
      </c>
      <c r="M699" s="39" t="s">
        <v>22</v>
      </c>
      <c r="N699" s="43" t="s">
        <v>675</v>
      </c>
      <c r="O699" s="43" t="s">
        <v>879</v>
      </c>
    </row>
    <row r="700" spans="1:15" ht="40.5" customHeight="1">
      <c r="A700" s="5">
        <v>42015</v>
      </c>
      <c r="B700" s="18" t="s">
        <v>15</v>
      </c>
      <c r="C700" s="34" t="s">
        <v>16</v>
      </c>
      <c r="D700" s="7" t="s">
        <v>32</v>
      </c>
      <c r="E700" s="67" t="s">
        <v>1093</v>
      </c>
      <c r="F700" s="85" t="str">
        <f>HYPERLINK("https://drive.google.com/file/d/1n3__jV61ywixm4JKS_k3VoN6-muk8fyP/view?usp=drivesdk","https://drive.google.com/file/d/1n3__jV61ywixm4JKS_k3VoN6-muk8fyP/view?usp=drivesdk")</f>
        <v>https://drive.google.com/file/d/1n3__jV61ywixm4JKS_k3VoN6-muk8fyP/view?usp=drivesdk</v>
      </c>
      <c r="G700" s="7" t="s">
        <v>1094</v>
      </c>
      <c r="H700" s="73" t="s">
        <v>222</v>
      </c>
      <c r="I700" s="40"/>
      <c r="J700" s="41">
        <v>76</v>
      </c>
      <c r="K700" s="41"/>
      <c r="L700" s="46">
        <v>0.3215277777777778</v>
      </c>
      <c r="M700" s="39" t="s">
        <v>102</v>
      </c>
      <c r="N700" s="43" t="s">
        <v>194</v>
      </c>
      <c r="O700" s="43" t="s">
        <v>195</v>
      </c>
    </row>
    <row r="701" spans="1:15" ht="40.5" customHeight="1">
      <c r="A701" s="5">
        <v>42007</v>
      </c>
      <c r="B701" s="18" t="s">
        <v>15</v>
      </c>
      <c r="C701" s="34" t="s">
        <v>16</v>
      </c>
      <c r="D701" s="7" t="s">
        <v>32</v>
      </c>
      <c r="E701" s="67" t="s">
        <v>1091</v>
      </c>
      <c r="F701" s="85" t="str">
        <f>HYPERLINK("https://drive.google.com/file/d/1YDOCz4dqDOTiUv3yIeXkTRivE33ZtNEI/view?usp=drivesdk","https://drive.google.com/file/d/1YDOCz4dqDOTiUv3yIeXkTRivE33ZtNEI/view?usp=drivesdk")</f>
        <v>https://drive.google.com/file/d/1YDOCz4dqDOTiUv3yIeXkTRivE33ZtNEI/view?usp=drivesdk</v>
      </c>
      <c r="G701" s="7" t="s">
        <v>1092</v>
      </c>
      <c r="H701" s="73" t="s">
        <v>222</v>
      </c>
      <c r="I701" s="10"/>
      <c r="J701" s="8">
        <v>46</v>
      </c>
      <c r="K701" s="8"/>
      <c r="L701" s="11">
        <v>0.1479166666666667</v>
      </c>
      <c r="M701" s="39" t="s">
        <v>330</v>
      </c>
      <c r="N701" s="43" t="s">
        <v>331</v>
      </c>
      <c r="O701" s="43" t="s">
        <v>332</v>
      </c>
    </row>
    <row r="702" spans="1:15" ht="14.25" customHeight="1">
      <c r="A702" s="5">
        <v>42005</v>
      </c>
      <c r="B702" s="18" t="s">
        <v>15</v>
      </c>
      <c r="C702" s="23" t="s">
        <v>16</v>
      </c>
      <c r="D702" s="7" t="s">
        <v>1088</v>
      </c>
      <c r="E702" s="67" t="s">
        <v>1089</v>
      </c>
      <c r="F702" s="85" t="str">
        <f>HYPERLINK("https://drive.google.com/file/d/1nCW7xFIRRHpBtLv5hh1C5NksPXzlgnpw/view?usp=drivesdk","https://drive.google.com/file/d/1nCW7xFIRRHpBtLv5hh1C5NksPXzlgnpw/view?usp=drivesdk")</f>
        <v>https://drive.google.com/file/d/1nCW7xFIRRHpBtLv5hh1C5NksPXzlgnpw/view?usp=drivesdk</v>
      </c>
      <c r="G702" s="7" t="s">
        <v>3255</v>
      </c>
      <c r="H702" s="73" t="s">
        <v>3208</v>
      </c>
      <c r="I702" s="10" t="s">
        <v>1086</v>
      </c>
      <c r="J702" s="8">
        <v>33</v>
      </c>
      <c r="K702" s="8">
        <v>922</v>
      </c>
      <c r="L702" s="11" t="s">
        <v>1090</v>
      </c>
      <c r="M702" s="39" t="s">
        <v>22</v>
      </c>
      <c r="N702" s="43" t="s">
        <v>675</v>
      </c>
      <c r="O702" s="43" t="s">
        <v>879</v>
      </c>
    </row>
    <row r="703" spans="1:15" ht="27" customHeight="1">
      <c r="A703" s="5">
        <v>42004</v>
      </c>
      <c r="B703" s="18" t="s">
        <v>15</v>
      </c>
      <c r="C703" s="23" t="s">
        <v>16</v>
      </c>
      <c r="D703" s="7" t="s">
        <v>1083</v>
      </c>
      <c r="E703" s="67" t="s">
        <v>1084</v>
      </c>
      <c r="F703" s="85" t="str">
        <f>HYPERLINK("https://drive.google.com/file/d/1X8eDyYPuS3H359Cbq8fD5S38DhWqfuoZ/view?usp=drivesdk","https://drive.google.com/file/d/1X8eDyYPuS3H359Cbq8fD5S38DhWqfuoZ/view?usp=drivesdk")</f>
        <v>https://drive.google.com/file/d/1X8eDyYPuS3H359Cbq8fD5S38DhWqfuoZ/view?usp=drivesdk</v>
      </c>
      <c r="G703" s="7" t="s">
        <v>1085</v>
      </c>
      <c r="H703" s="73" t="s">
        <v>3208</v>
      </c>
      <c r="I703" s="10" t="s">
        <v>1086</v>
      </c>
      <c r="J703" s="8">
        <v>47</v>
      </c>
      <c r="K703" s="8">
        <v>945</v>
      </c>
      <c r="L703" s="11" t="s">
        <v>1087</v>
      </c>
      <c r="M703" s="39" t="s">
        <v>22</v>
      </c>
      <c r="N703" s="43" t="s">
        <v>675</v>
      </c>
      <c r="O703" s="43" t="s">
        <v>879</v>
      </c>
    </row>
    <row r="704" spans="1:15" ht="40.5" customHeight="1">
      <c r="A704" s="5">
        <v>42001</v>
      </c>
      <c r="B704" s="18" t="s">
        <v>15</v>
      </c>
      <c r="C704" s="23" t="s">
        <v>223</v>
      </c>
      <c r="D704" s="7" t="s">
        <v>1078</v>
      </c>
      <c r="E704" s="67" t="s">
        <v>1082</v>
      </c>
      <c r="F704" s="85" t="str">
        <f>HYPERLINK("https://drive.google.com/file/d/1pSBEvFse-Aonbv6X7HGEFfETp9OBGvv3/view?usp=drivesdk","https://drive.google.com/file/d/1pSBEvFse-Aonbv6X7HGEFfETp9OBGvv3/view?usp=drivesdk")</f>
        <v>https://drive.google.com/file/d/1pSBEvFse-Aonbv6X7HGEFfETp9OBGvv3/view?usp=drivesdk</v>
      </c>
      <c r="G704" s="7" t="s">
        <v>729</v>
      </c>
      <c r="H704" s="95" t="s">
        <v>3209</v>
      </c>
      <c r="I704" s="40"/>
      <c r="J704" s="41">
        <v>57</v>
      </c>
      <c r="K704" s="41">
        <v>768</v>
      </c>
      <c r="L704" s="54">
        <v>0.27083333333333331</v>
      </c>
      <c r="M704" s="39" t="s">
        <v>19</v>
      </c>
      <c r="N704" s="48" t="s">
        <v>615</v>
      </c>
      <c r="O704" s="43" t="s">
        <v>1028</v>
      </c>
    </row>
    <row r="705" spans="1:15" ht="27">
      <c r="A705" s="5">
        <v>41996</v>
      </c>
      <c r="B705" s="18" t="s">
        <v>15</v>
      </c>
      <c r="C705" s="23" t="s">
        <v>223</v>
      </c>
      <c r="D705" s="7" t="s">
        <v>1078</v>
      </c>
      <c r="E705" s="67" t="s">
        <v>1079</v>
      </c>
      <c r="F705" s="85" t="str">
        <f>HYPERLINK("https://drive.google.com/file/d/1fr4ucnA-Z3hHOP1pWZ_CVHswA5_TFxlJ/view?usp=drivesdk","https://drive.google.com/file/d/1fr4ucnA-Z3hHOP1pWZ_CVHswA5_TFxlJ/view?usp=drivesdk")</f>
        <v>https://drive.google.com/file/d/1fr4ucnA-Z3hHOP1pWZ_CVHswA5_TFxlJ/view?usp=drivesdk</v>
      </c>
      <c r="G705" s="7" t="s">
        <v>1080</v>
      </c>
      <c r="H705" s="95" t="s">
        <v>3209</v>
      </c>
      <c r="I705" s="10"/>
      <c r="J705" s="8">
        <v>36</v>
      </c>
      <c r="K705" s="8">
        <v>384</v>
      </c>
      <c r="L705" s="11" t="s">
        <v>1081</v>
      </c>
      <c r="M705" s="39" t="s">
        <v>19</v>
      </c>
      <c r="N705" s="48" t="s">
        <v>615</v>
      </c>
      <c r="O705" s="43" t="s">
        <v>1028</v>
      </c>
    </row>
    <row r="706" spans="1:15" ht="27" customHeight="1">
      <c r="A706" s="5">
        <v>41986</v>
      </c>
      <c r="B706" s="18" t="s">
        <v>15</v>
      </c>
      <c r="C706" s="34" t="s">
        <v>16</v>
      </c>
      <c r="D706" s="7" t="s">
        <v>1074</v>
      </c>
      <c r="E706" s="67" t="s">
        <v>1075</v>
      </c>
      <c r="F706" s="85" t="str">
        <f>HYPERLINK("https://drive.google.com/file/d/18qAhvfbYMcQjpgpmErzghUZV-mLVUQDY/view?usp=drivesdk","https://drive.google.com/file/d/18qAhvfbYMcQjpgpmErzghUZV-mLVUQDY/view?usp=drivesdk")</f>
        <v>https://drive.google.com/file/d/18qAhvfbYMcQjpgpmErzghUZV-mLVUQDY/view?usp=drivesdk</v>
      </c>
      <c r="G706" s="7" t="s">
        <v>1076</v>
      </c>
      <c r="H706" s="95" t="s">
        <v>3216</v>
      </c>
      <c r="I706" s="10"/>
      <c r="J706" s="8">
        <v>65</v>
      </c>
      <c r="K706" s="8">
        <v>206</v>
      </c>
      <c r="L706" s="11" t="s">
        <v>1077</v>
      </c>
      <c r="M706" s="39" t="s">
        <v>22</v>
      </c>
      <c r="N706" s="43" t="s">
        <v>675</v>
      </c>
      <c r="O706" s="43" t="s">
        <v>879</v>
      </c>
    </row>
    <row r="707" spans="1:15" ht="40.5" customHeight="1">
      <c r="A707" s="63">
        <v>41967</v>
      </c>
      <c r="B707" s="18" t="s">
        <v>15</v>
      </c>
      <c r="C707" s="23" t="s">
        <v>223</v>
      </c>
      <c r="D707" s="7" t="s">
        <v>1072</v>
      </c>
      <c r="E707" s="68" t="s">
        <v>1073</v>
      </c>
      <c r="F707" s="85" t="str">
        <f>HYPERLINK("https://drive.google.com/file/d/1M6PQ_NWK7A4gfScJ4Q767kYf2i1VWJ0d/view?usp=drivesdk","https://drive.google.com/file/d/1M6PQ_NWK7A4gfScJ4Q767kYf2i1VWJ0d/view?usp=drivesdk")</f>
        <v>https://drive.google.com/file/d/1M6PQ_NWK7A4gfScJ4Q767kYf2i1VWJ0d/view?usp=drivesdk</v>
      </c>
      <c r="G707" s="7" t="s">
        <v>1072</v>
      </c>
      <c r="H707" s="95" t="s">
        <v>3208</v>
      </c>
      <c r="I707" s="15" t="s">
        <v>404</v>
      </c>
      <c r="J707" s="41">
        <v>85</v>
      </c>
      <c r="K707" s="41">
        <v>357</v>
      </c>
      <c r="L707" s="54">
        <v>0.45833333333333331</v>
      </c>
      <c r="M707" s="39" t="s">
        <v>22</v>
      </c>
      <c r="N707" s="43" t="s">
        <v>675</v>
      </c>
      <c r="O707" s="43" t="s">
        <v>879</v>
      </c>
    </row>
    <row r="708" spans="1:15" ht="27">
      <c r="A708" s="5">
        <v>41965</v>
      </c>
      <c r="B708" s="18" t="s">
        <v>15</v>
      </c>
      <c r="C708" s="23" t="s">
        <v>223</v>
      </c>
      <c r="D708" s="7" t="s">
        <v>1068</v>
      </c>
      <c r="E708" s="67" t="s">
        <v>1069</v>
      </c>
      <c r="F708" s="85" t="str">
        <f>HYPERLINK("https://drive.google.com/file/d/1RH_V_oSzvgr3p91bVLwALhpYHvzjrlIa/view?usp=drivesdk","https://drive.google.com/file/d/1RH_V_oSzvgr3p91bVLwALhpYHvzjrlIa/view?usp=drivesdk")</f>
        <v>https://drive.google.com/file/d/1RH_V_oSzvgr3p91bVLwALhpYHvzjrlIa/view?usp=drivesdk</v>
      </c>
      <c r="G708" s="7" t="s">
        <v>1070</v>
      </c>
      <c r="H708" s="95" t="s">
        <v>3203</v>
      </c>
      <c r="I708" s="15" t="s">
        <v>404</v>
      </c>
      <c r="J708" s="8">
        <v>82</v>
      </c>
      <c r="K708" s="8">
        <v>2200</v>
      </c>
      <c r="L708" s="11" t="s">
        <v>1071</v>
      </c>
      <c r="M708" s="39" t="s">
        <v>22</v>
      </c>
      <c r="N708" s="43" t="s">
        <v>675</v>
      </c>
      <c r="O708" s="43" t="s">
        <v>879</v>
      </c>
    </row>
    <row r="709" spans="1:15" ht="27" customHeight="1">
      <c r="A709" s="5">
        <v>41959</v>
      </c>
      <c r="B709" s="18" t="s">
        <v>15</v>
      </c>
      <c r="C709" s="34" t="s">
        <v>16</v>
      </c>
      <c r="D709" s="7" t="s">
        <v>1065</v>
      </c>
      <c r="E709" s="67" t="s">
        <v>1066</v>
      </c>
      <c r="F709" s="85" t="str">
        <f>HYPERLINK("https://drive.google.com/file/d/1u7oASu0K-LnFt1et6awVYXCY4UFT504A/view?usp=drivesdk","https://drive.google.com/file/d/1u7oASu0K-LnFt1et6awVYXCY4UFT504A/view?usp=drivesdk")</f>
        <v>https://drive.google.com/file/d/1u7oASu0K-LnFt1et6awVYXCY4UFT504A/view?usp=drivesdk</v>
      </c>
      <c r="G709" s="7" t="s">
        <v>743</v>
      </c>
      <c r="H709" s="95" t="s">
        <v>3268</v>
      </c>
      <c r="I709" s="10"/>
      <c r="J709" s="8">
        <v>68</v>
      </c>
      <c r="K709" s="8">
        <v>357</v>
      </c>
      <c r="L709" s="11" t="s">
        <v>1067</v>
      </c>
      <c r="M709" s="39" t="s">
        <v>22</v>
      </c>
      <c r="N709" s="43" t="s">
        <v>675</v>
      </c>
      <c r="O709" s="43" t="s">
        <v>676</v>
      </c>
    </row>
    <row r="710" spans="1:15">
      <c r="A710" s="5">
        <v>41958</v>
      </c>
      <c r="B710" s="18" t="s">
        <v>15</v>
      </c>
      <c r="C710" s="23" t="s">
        <v>223</v>
      </c>
      <c r="D710" s="7" t="s">
        <v>772</v>
      </c>
      <c r="E710" s="67" t="s">
        <v>1062</v>
      </c>
      <c r="F710" s="85" t="str">
        <f>HYPERLINK("https://drive.google.com/file/d/1S1o1SrizUC2xMJ-IZvOkEyj-LqpFXXo-/view?usp=drivesdk","https://drive.google.com/file/d/1S1o1SrizUC2xMJ-IZvOkEyj-LqpFXXo-/view?usp=drivesdk")</f>
        <v>https://drive.google.com/file/d/1S1o1SrizUC2xMJ-IZvOkEyj-LqpFXXo-/view?usp=drivesdk</v>
      </c>
      <c r="G710" s="7" t="s">
        <v>1063</v>
      </c>
      <c r="H710" s="95" t="s">
        <v>3225</v>
      </c>
      <c r="I710" s="15" t="s">
        <v>404</v>
      </c>
      <c r="J710" s="8">
        <v>95</v>
      </c>
      <c r="K710" s="8">
        <v>2380</v>
      </c>
      <c r="L710" s="11" t="s">
        <v>1064</v>
      </c>
      <c r="M710" s="39" t="s">
        <v>22</v>
      </c>
      <c r="N710" s="43" t="s">
        <v>23</v>
      </c>
      <c r="O710" s="43" t="s">
        <v>136</v>
      </c>
    </row>
    <row r="711" spans="1:15">
      <c r="A711" s="5">
        <v>41945</v>
      </c>
      <c r="B711" s="18" t="s">
        <v>15</v>
      </c>
      <c r="C711" s="23" t="s">
        <v>16</v>
      </c>
      <c r="D711" s="21" t="s">
        <v>1059</v>
      </c>
      <c r="E711" s="67" t="s">
        <v>1060</v>
      </c>
      <c r="F711" s="85" t="str">
        <f>HYPERLINK("https://drive.google.com/file/d/1zKLymsNl2oa8YLNPSGdSR9oGun6QOPyV/view?usp=drivesdk","https://drive.google.com/file/d/1zKLymsNl2oa8YLNPSGdSR9oGun6QOPyV/view?usp=drivesdk")</f>
        <v>https://drive.google.com/file/d/1zKLymsNl2oa8YLNPSGdSR9oGun6QOPyV/view?usp=drivesdk</v>
      </c>
      <c r="G711" s="7" t="s">
        <v>1061</v>
      </c>
      <c r="H711" s="95" t="s">
        <v>3203</v>
      </c>
      <c r="I711" s="15" t="s">
        <v>404</v>
      </c>
      <c r="J711" s="41">
        <v>67</v>
      </c>
      <c r="K711" s="41">
        <v>429</v>
      </c>
      <c r="L711" s="54">
        <v>0.25555555555555548</v>
      </c>
      <c r="M711" s="39" t="s">
        <v>22</v>
      </c>
      <c r="N711" s="43" t="s">
        <v>675</v>
      </c>
      <c r="O711" s="43" t="s">
        <v>879</v>
      </c>
    </row>
    <row r="712" spans="1:15" ht="27" customHeight="1">
      <c r="A712" s="5">
        <v>41938</v>
      </c>
      <c r="B712" s="18" t="s">
        <v>15</v>
      </c>
      <c r="C712" s="23" t="s">
        <v>16</v>
      </c>
      <c r="D712" s="7" t="s">
        <v>1055</v>
      </c>
      <c r="E712" s="67" t="s">
        <v>1056</v>
      </c>
      <c r="F712" s="85" t="str">
        <f>HYPERLINK("https://drive.google.com/file/d/1SwxHgEz9fvxNtPcL6JdYZKC7OBmmUbgL/view?usp=drivesdk","https://drive.google.com/file/d/1SwxHgEz9fvxNtPcL6JdYZKC7OBmmUbgL/view?usp=drivesdk")</f>
        <v>https://drive.google.com/file/d/1SwxHgEz9fvxNtPcL6JdYZKC7OBmmUbgL/view?usp=drivesdk</v>
      </c>
      <c r="G712" s="7" t="s">
        <v>1057</v>
      </c>
      <c r="H712" s="95" t="s">
        <v>3224</v>
      </c>
      <c r="I712" s="15" t="s">
        <v>404</v>
      </c>
      <c r="J712" s="8">
        <v>118</v>
      </c>
      <c r="K712" s="8">
        <v>2210</v>
      </c>
      <c r="L712" s="11" t="s">
        <v>1058</v>
      </c>
      <c r="M712" s="39" t="s">
        <v>22</v>
      </c>
      <c r="N712" s="43" t="s">
        <v>675</v>
      </c>
      <c r="O712" s="43" t="s">
        <v>879</v>
      </c>
    </row>
    <row r="713" spans="1:15" ht="54" customHeight="1">
      <c r="A713" s="5">
        <v>41930</v>
      </c>
      <c r="B713" s="18" t="s">
        <v>15</v>
      </c>
      <c r="C713" s="23" t="s">
        <v>16</v>
      </c>
      <c r="D713" s="21" t="s">
        <v>1053</v>
      </c>
      <c r="E713" s="67" t="s">
        <v>1054</v>
      </c>
      <c r="F713" s="85" t="str">
        <f>HYPERLINK("https://drive.google.com/file/d/15vD16UB9KcS0nVqPHpyiQeKWryEXrD0u/view?usp=drivesdk","https://drive.google.com/file/d/15vD16UB9KcS0nVqPHpyiQeKWryEXrD0u/view?usp=drivesdk")</f>
        <v>https://drive.google.com/file/d/15vD16UB9KcS0nVqPHpyiQeKWryEXrD0u/view?usp=drivesdk</v>
      </c>
      <c r="G713" s="21" t="s">
        <v>1053</v>
      </c>
      <c r="H713" s="95" t="s">
        <v>3196</v>
      </c>
      <c r="I713" s="15" t="s">
        <v>404</v>
      </c>
      <c r="J713" s="41">
        <v>60</v>
      </c>
      <c r="K713" s="41">
        <v>1068</v>
      </c>
      <c r="L713" s="46">
        <v>0.23402777777777781</v>
      </c>
      <c r="M713" s="39" t="s">
        <v>22</v>
      </c>
      <c r="N713" s="43" t="s">
        <v>675</v>
      </c>
      <c r="O713" s="43" t="s">
        <v>879</v>
      </c>
    </row>
    <row r="714" spans="1:15" ht="40.5" customHeight="1">
      <c r="A714" s="5">
        <v>41903</v>
      </c>
      <c r="B714" s="18" t="s">
        <v>15</v>
      </c>
      <c r="C714" s="23" t="s">
        <v>16</v>
      </c>
      <c r="D714" s="7" t="s">
        <v>1049</v>
      </c>
      <c r="E714" s="67" t="s">
        <v>1050</v>
      </c>
      <c r="F714" s="85" t="str">
        <f>HYPERLINK("https://drive.google.com/file/d/11TTK61DjQi1XW4oZYvuA_CGFy-YqneA-/view?usp=drivesdk","https://drive.google.com/file/d/11TTK61DjQi1XW4oZYvuA_CGFy-YqneA-/view?usp=drivesdk")</f>
        <v>https://drive.google.com/file/d/11TTK61DjQi1XW4oZYvuA_CGFy-YqneA-/view?usp=drivesdk</v>
      </c>
      <c r="G714" s="7" t="s">
        <v>1051</v>
      </c>
      <c r="H714" s="95" t="s">
        <v>3196</v>
      </c>
      <c r="I714" s="10"/>
      <c r="J714" s="8">
        <v>94</v>
      </c>
      <c r="K714" s="8">
        <v>1828</v>
      </c>
      <c r="L714" s="11" t="s">
        <v>1052</v>
      </c>
      <c r="M714" s="39" t="s">
        <v>22</v>
      </c>
      <c r="N714" s="43" t="s">
        <v>675</v>
      </c>
      <c r="O714" s="43" t="s">
        <v>879</v>
      </c>
    </row>
    <row r="715" spans="1:15" ht="27" customHeight="1">
      <c r="A715" s="5">
        <v>41902</v>
      </c>
      <c r="B715" s="18" t="s">
        <v>15</v>
      </c>
      <c r="C715" s="23" t="s">
        <v>16</v>
      </c>
      <c r="D715" s="7" t="s">
        <v>1045</v>
      </c>
      <c r="E715" s="67" t="s">
        <v>1046</v>
      </c>
      <c r="F715" s="85" t="str">
        <f>HYPERLINK("https://drive.google.com/file/d/1Ze73u6UULvtW5_poAsVttGXFEVOUDN4R/view?usp=drivesdk","https://drive.google.com/file/d/1Ze73u6UULvtW5_poAsVttGXFEVOUDN4R/view?usp=drivesdk")</f>
        <v>https://drive.google.com/file/d/1Ze73u6UULvtW5_poAsVttGXFEVOUDN4R/view?usp=drivesdk</v>
      </c>
      <c r="G715" s="7" t="s">
        <v>1047</v>
      </c>
      <c r="H715" s="95" t="s">
        <v>3267</v>
      </c>
      <c r="I715" s="10"/>
      <c r="J715" s="8">
        <v>150</v>
      </c>
      <c r="K715" s="8">
        <v>2826</v>
      </c>
      <c r="L715" s="11" t="s">
        <v>1048</v>
      </c>
      <c r="M715" s="39" t="s">
        <v>22</v>
      </c>
      <c r="N715" s="43" t="s">
        <v>675</v>
      </c>
      <c r="O715" s="43" t="s">
        <v>879</v>
      </c>
    </row>
    <row r="716" spans="1:15" ht="27">
      <c r="A716" s="5">
        <v>41897</v>
      </c>
      <c r="B716" s="18" t="s">
        <v>15</v>
      </c>
      <c r="C716" s="23" t="s">
        <v>16</v>
      </c>
      <c r="D716" s="7" t="s">
        <v>1041</v>
      </c>
      <c r="E716" s="68" t="s">
        <v>1042</v>
      </c>
      <c r="F716" s="85" t="str">
        <f>HYPERLINK("https://drive.google.com/file/d/1fgRe3JlvL9WX7qHLqRCkNipDZwWipLN5/view?usp=drivesdk","https://drive.google.com/file/d/1fgRe3JlvL9WX7qHLqRCkNipDZwWipLN5/view?usp=drivesdk")</f>
        <v>https://drive.google.com/file/d/1fgRe3JlvL9WX7qHLqRCkNipDZwWipLN5/view?usp=drivesdk</v>
      </c>
      <c r="G716" s="7" t="s">
        <v>1043</v>
      </c>
      <c r="H716" s="95" t="s">
        <v>3344</v>
      </c>
      <c r="I716" s="10"/>
      <c r="J716" s="8">
        <v>150</v>
      </c>
      <c r="K716" s="8">
        <v>1634</v>
      </c>
      <c r="L716" s="11" t="s">
        <v>1044</v>
      </c>
      <c r="M716" s="39" t="s">
        <v>22</v>
      </c>
      <c r="N716" s="43" t="s">
        <v>675</v>
      </c>
      <c r="O716" s="43" t="s">
        <v>879</v>
      </c>
    </row>
    <row r="717" spans="1:15" ht="27">
      <c r="A717" s="5">
        <v>41896</v>
      </c>
      <c r="B717" s="18" t="s">
        <v>15</v>
      </c>
      <c r="C717" s="34" t="s">
        <v>16</v>
      </c>
      <c r="D717" s="7" t="s">
        <v>877</v>
      </c>
      <c r="E717" s="68" t="s">
        <v>1039</v>
      </c>
      <c r="F717" s="85" t="str">
        <f>HYPERLINK("https://drive.google.com/file/d/1y6yp84dPgQm1Vo2CN0U077hLXhrdnyyG/view?usp=drivesdk","https://drive.google.com/file/d/1y6yp84dPgQm1Vo2CN0U077hLXhrdnyyG/view?usp=drivesdk")</f>
        <v>https://drive.google.com/file/d/1y6yp84dPgQm1Vo2CN0U077hLXhrdnyyG/view?usp=drivesdk</v>
      </c>
      <c r="G717" s="7" t="s">
        <v>1040</v>
      </c>
      <c r="H717" s="95" t="s">
        <v>3239</v>
      </c>
      <c r="I717" s="10"/>
      <c r="J717" s="8">
        <v>87</v>
      </c>
      <c r="K717" s="8">
        <v>646</v>
      </c>
      <c r="L717" s="11" t="s">
        <v>1032</v>
      </c>
      <c r="M717" s="39" t="s">
        <v>22</v>
      </c>
      <c r="N717" s="43" t="s">
        <v>675</v>
      </c>
      <c r="O717" s="43" t="s">
        <v>879</v>
      </c>
    </row>
    <row r="718" spans="1:15" ht="67.5" customHeight="1">
      <c r="A718" s="5">
        <v>41895</v>
      </c>
      <c r="B718" s="18" t="s">
        <v>15</v>
      </c>
      <c r="C718" s="23" t="s">
        <v>16</v>
      </c>
      <c r="D718" s="21" t="s">
        <v>32</v>
      </c>
      <c r="E718" s="68" t="s">
        <v>1037</v>
      </c>
      <c r="F718" s="85" t="str">
        <f>HYPERLINK("https://drive.google.com/file/d/1mJiSVxbzDvVT9nH6PeLl8BCQXXctT6jn/view?usp=drivesdk","https://drive.google.com/file/d/1mJiSVxbzDvVT9nH6PeLl8BCQXXctT6jn/view?usp=drivesdk")</f>
        <v>https://drive.google.com/file/d/1mJiSVxbzDvVT9nH6PeLl8BCQXXctT6jn/view?usp=drivesdk</v>
      </c>
      <c r="G718" s="7" t="s">
        <v>1038</v>
      </c>
      <c r="H718" s="73" t="s">
        <v>222</v>
      </c>
      <c r="I718" s="40"/>
      <c r="J718" s="41">
        <v>57</v>
      </c>
      <c r="K718" s="41">
        <v>162</v>
      </c>
      <c r="L718" s="46">
        <v>0.1895833333333333</v>
      </c>
      <c r="M718" s="39" t="s">
        <v>102</v>
      </c>
      <c r="N718" s="43" t="s">
        <v>194</v>
      </c>
      <c r="O718" s="43" t="s">
        <v>195</v>
      </c>
    </row>
    <row r="719" spans="1:15" ht="40.5" customHeight="1">
      <c r="A719" s="5">
        <v>41889</v>
      </c>
      <c r="B719" s="18" t="s">
        <v>15</v>
      </c>
      <c r="C719" s="7" t="s">
        <v>131</v>
      </c>
      <c r="D719" s="21" t="s">
        <v>273</v>
      </c>
      <c r="E719" s="68" t="s">
        <v>1035</v>
      </c>
      <c r="F719" s="85" t="str">
        <f>HYPERLINK("https://drive.google.com/file/d/1NfSo8n5Nqo9fGGPDT-6_r4rpDClbMxxz/view?usp=drivesdk","https://drive.google.com/file/d/1NfSo8n5Nqo9fGGPDT-6_r4rpDClbMxxz/view?usp=drivesdk")</f>
        <v>https://drive.google.com/file/d/1NfSo8n5Nqo9fGGPDT-6_r4rpDClbMxxz/view?usp=drivesdk</v>
      </c>
      <c r="G719" s="7" t="s">
        <v>1036</v>
      </c>
      <c r="H719" s="95" t="s">
        <v>3202</v>
      </c>
      <c r="I719" s="23" t="s">
        <v>276</v>
      </c>
      <c r="J719" s="8">
        <v>19</v>
      </c>
      <c r="K719" s="8">
        <v>1100</v>
      </c>
      <c r="L719" s="11">
        <v>5.7638888888888892E-2</v>
      </c>
      <c r="M719" s="39" t="s">
        <v>22</v>
      </c>
      <c r="N719" s="43" t="s">
        <v>23</v>
      </c>
      <c r="O719" s="43" t="s">
        <v>136</v>
      </c>
    </row>
    <row r="720" spans="1:15" ht="54" customHeight="1">
      <c r="A720" s="5">
        <v>41882</v>
      </c>
      <c r="B720" s="18" t="s">
        <v>15</v>
      </c>
      <c r="C720" s="34" t="s">
        <v>16</v>
      </c>
      <c r="D720" s="7" t="s">
        <v>133</v>
      </c>
      <c r="E720" s="68" t="s">
        <v>1033</v>
      </c>
      <c r="F720" s="85" t="str">
        <f>HYPERLINK("https://drive.google.com/file/d/19GK1d8TQqmL2jhn7Ob3bezyzXgBDA3Df/view?usp=drivesdk","https://drive.google.com/file/d/19GK1d8TQqmL2jhn7Ob3bezyzXgBDA3Df/view?usp=drivesdk")</f>
        <v>https://drive.google.com/file/d/19GK1d8TQqmL2jhn7Ob3bezyzXgBDA3Df/view?usp=drivesdk</v>
      </c>
      <c r="G720" s="7" t="s">
        <v>133</v>
      </c>
      <c r="H720" s="95" t="s">
        <v>3203</v>
      </c>
      <c r="I720" s="10"/>
      <c r="J720" s="8">
        <v>24</v>
      </c>
      <c r="K720" s="8">
        <v>1201</v>
      </c>
      <c r="L720" s="11" t="s">
        <v>1034</v>
      </c>
      <c r="M720" s="39" t="s">
        <v>22</v>
      </c>
      <c r="N720" s="43" t="s">
        <v>23</v>
      </c>
      <c r="O720" s="43" t="s">
        <v>136</v>
      </c>
    </row>
    <row r="721" spans="1:15" ht="54" customHeight="1">
      <c r="A721" s="5">
        <v>41875</v>
      </c>
      <c r="B721" s="18" t="s">
        <v>15</v>
      </c>
      <c r="C721" s="23" t="s">
        <v>16</v>
      </c>
      <c r="D721" s="7" t="s">
        <v>1029</v>
      </c>
      <c r="E721" s="67" t="s">
        <v>1030</v>
      </c>
      <c r="F721" s="85" t="str">
        <f>HYPERLINK("https://drive.google.com/file/d/13V6D-VAPDIRw8pHdCcRrY__cz5NXj_Zd/view?usp=drivesdk","https://drive.google.com/file/d/13V6D-VAPDIRw8pHdCcRrY__cz5NXj_Zd/view?usp=drivesdk")</f>
        <v>https://drive.google.com/file/d/13V6D-VAPDIRw8pHdCcRrY__cz5NXj_Zd/view?usp=drivesdk</v>
      </c>
      <c r="G721" s="7" t="s">
        <v>1031</v>
      </c>
      <c r="H721" s="95" t="s">
        <v>3266</v>
      </c>
      <c r="I721" s="10"/>
      <c r="J721" s="8">
        <v>96</v>
      </c>
      <c r="K721" s="8">
        <v>1868</v>
      </c>
      <c r="L721" s="11" t="s">
        <v>1032</v>
      </c>
      <c r="M721" s="39" t="s">
        <v>22</v>
      </c>
      <c r="N721" s="43" t="s">
        <v>675</v>
      </c>
      <c r="O721" s="43" t="s">
        <v>879</v>
      </c>
    </row>
    <row r="722" spans="1:15" ht="27" customHeight="1">
      <c r="A722" s="5">
        <v>41874</v>
      </c>
      <c r="B722" s="62" t="s">
        <v>246</v>
      </c>
      <c r="C722" s="23" t="s">
        <v>196</v>
      </c>
      <c r="D722" s="7" t="s">
        <v>1024</v>
      </c>
      <c r="E722" s="67" t="s">
        <v>1025</v>
      </c>
      <c r="F722" s="85" t="str">
        <f>HYPERLINK("https://drive.google.com/file/d/1cGzG7OGaFi63DpqreBsFxvekPdOXwcVI/view?usp=drivesdk","https://drive.google.com/file/d/1cGzG7OGaFi63DpqreBsFxvekPdOXwcVI/view?usp=drivesdk")</f>
        <v>https://drive.google.com/file/d/1cGzG7OGaFi63DpqreBsFxvekPdOXwcVI/view?usp=drivesdk</v>
      </c>
      <c r="G722" s="7" t="s">
        <v>1026</v>
      </c>
      <c r="H722" s="95" t="s">
        <v>3208</v>
      </c>
      <c r="I722" s="16"/>
      <c r="J722" s="8">
        <v>48</v>
      </c>
      <c r="K722" s="8">
        <v>1160</v>
      </c>
      <c r="L722" s="11" t="s">
        <v>1027</v>
      </c>
      <c r="M722" s="39" t="s">
        <v>19</v>
      </c>
      <c r="N722" s="48" t="s">
        <v>615</v>
      </c>
      <c r="O722" s="48" t="s">
        <v>1028</v>
      </c>
    </row>
    <row r="723" spans="1:15" ht="40.5" customHeight="1">
      <c r="A723" s="5">
        <v>41866</v>
      </c>
      <c r="B723" s="18" t="s">
        <v>15</v>
      </c>
      <c r="C723" s="23" t="s">
        <v>16</v>
      </c>
      <c r="D723" s="7" t="s">
        <v>1022</v>
      </c>
      <c r="E723" s="67" t="s">
        <v>1023</v>
      </c>
      <c r="F723" s="85" t="str">
        <f>HYPERLINK("https://drive.google.com/file/d/1OnXcUK62JQJhApyq2IDEgVX0geDkfU74/view?usp=drivesdk","https://drive.google.com/file/d/1OnXcUK62JQJhApyq2IDEgVX0geDkfU74/view?usp=drivesdk")</f>
        <v>https://drive.google.com/file/d/1OnXcUK62JQJhApyq2IDEgVX0geDkfU74/view?usp=drivesdk</v>
      </c>
      <c r="G723" s="7" t="s">
        <v>1022</v>
      </c>
      <c r="H723" s="95" t="s">
        <v>3196</v>
      </c>
      <c r="I723" s="40"/>
      <c r="J723" s="41">
        <v>66</v>
      </c>
      <c r="K723" s="41">
        <v>1378</v>
      </c>
      <c r="L723" s="54">
        <v>0.3</v>
      </c>
      <c r="M723" s="39" t="s">
        <v>22</v>
      </c>
      <c r="N723" s="43" t="s">
        <v>675</v>
      </c>
      <c r="O723" s="43" t="s">
        <v>879</v>
      </c>
    </row>
    <row r="724" spans="1:15" ht="40.5" customHeight="1">
      <c r="A724" s="5">
        <v>41865</v>
      </c>
      <c r="B724" s="18" t="s">
        <v>15</v>
      </c>
      <c r="C724" s="23" t="s">
        <v>16</v>
      </c>
      <c r="D724" s="7" t="s">
        <v>1020</v>
      </c>
      <c r="E724" s="67" t="s">
        <v>1021</v>
      </c>
      <c r="F724" s="85" t="str">
        <f>HYPERLINK("https://drive.google.com/file/d/1DqSpkslk_jcdHEDwUIQ8ceI9bgrtT5w1/view?usp=drivesdk","https://drive.google.com/file/d/1DqSpkslk_jcdHEDwUIQ8ceI9bgrtT5w1/view?usp=drivesdk")</f>
        <v>https://drive.google.com/file/d/1DqSpkslk_jcdHEDwUIQ8ceI9bgrtT5w1/view?usp=drivesdk</v>
      </c>
      <c r="G724" s="7" t="s">
        <v>1020</v>
      </c>
      <c r="H724" s="95" t="s">
        <v>3196</v>
      </c>
      <c r="I724" s="40"/>
      <c r="J724" s="41">
        <v>83</v>
      </c>
      <c r="K724" s="41">
        <v>890</v>
      </c>
      <c r="L724" s="54">
        <v>0.28819444444444442</v>
      </c>
      <c r="M724" s="39" t="s">
        <v>22</v>
      </c>
      <c r="N724" s="43" t="s">
        <v>675</v>
      </c>
      <c r="O724" s="43" t="s">
        <v>879</v>
      </c>
    </row>
    <row r="725" spans="1:15" ht="27" customHeight="1">
      <c r="A725" s="5">
        <v>41864</v>
      </c>
      <c r="B725" s="18" t="s">
        <v>15</v>
      </c>
      <c r="C725" s="23" t="s">
        <v>16</v>
      </c>
      <c r="D725" s="7" t="s">
        <v>1017</v>
      </c>
      <c r="E725" s="67" t="s">
        <v>1018</v>
      </c>
      <c r="F725" s="85" t="str">
        <f>HYPERLINK("https://drive.google.com/file/d/14WzTNZu7fAEBuvzef8ImHpnzhKRi9zwH/view?usp=drivesdk","https://drive.google.com/file/d/14WzTNZu7fAEBuvzef8ImHpnzhKRi9zwH/view?usp=drivesdk")</f>
        <v>https://drive.google.com/file/d/14WzTNZu7fAEBuvzef8ImHpnzhKRi9zwH/view?usp=drivesdk</v>
      </c>
      <c r="G725" s="7" t="s">
        <v>1019</v>
      </c>
      <c r="H725" s="95" t="s">
        <v>3239</v>
      </c>
      <c r="I725" s="40"/>
      <c r="J725" s="41">
        <v>54</v>
      </c>
      <c r="K725" s="41">
        <v>245</v>
      </c>
      <c r="L725" s="54">
        <v>0.1680555555555556</v>
      </c>
      <c r="M725" s="39" t="s">
        <v>22</v>
      </c>
      <c r="N725" s="43" t="s">
        <v>675</v>
      </c>
      <c r="O725" s="43" t="s">
        <v>879</v>
      </c>
    </row>
    <row r="726" spans="1:15" ht="27" customHeight="1">
      <c r="A726" s="5">
        <v>41854</v>
      </c>
      <c r="B726" s="18" t="s">
        <v>15</v>
      </c>
      <c r="C726" s="23" t="s">
        <v>16</v>
      </c>
      <c r="D726" s="7" t="s">
        <v>1014</v>
      </c>
      <c r="E726" s="67" t="s">
        <v>1015</v>
      </c>
      <c r="F726" s="85" t="str">
        <f>HYPERLINK("https://drive.google.com/file/d/1A7eg8Zvvx555R_RwqeB-xc8p7wHjO_So/view?usp=drivesdk","https://drive.google.com/file/d/1A7eg8Zvvx555R_RwqeB-xc8p7wHjO_So/view?usp=drivesdk")</f>
        <v>https://drive.google.com/file/d/1A7eg8Zvvx555R_RwqeB-xc8p7wHjO_So/view?usp=drivesdk</v>
      </c>
      <c r="G726" s="7" t="s">
        <v>1016</v>
      </c>
      <c r="H726" s="95" t="s">
        <v>3235</v>
      </c>
      <c r="I726" s="40"/>
      <c r="J726" s="41">
        <v>75</v>
      </c>
      <c r="K726" s="41">
        <v>1527</v>
      </c>
      <c r="L726" s="54">
        <v>0.28263888888888888</v>
      </c>
      <c r="M726" s="39" t="s">
        <v>22</v>
      </c>
      <c r="N726" s="43" t="s">
        <v>675</v>
      </c>
      <c r="O726" s="43" t="s">
        <v>879</v>
      </c>
    </row>
    <row r="727" spans="1:15">
      <c r="A727" s="5">
        <v>41848</v>
      </c>
      <c r="B727" s="18" t="s">
        <v>15</v>
      </c>
      <c r="C727" s="23" t="s">
        <v>16</v>
      </c>
      <c r="D727" s="21" t="s">
        <v>276</v>
      </c>
      <c r="E727" s="67" t="s">
        <v>1013</v>
      </c>
      <c r="F727" s="85" t="str">
        <f>HYPERLINK("https://drive.google.com/file/d/1OrX9uLKFsdS6m2KqWt72AOHrVRzmsSi3/view?usp=drivesdk","https://drive.google.com/file/d/1OrX9uLKFsdS6m2KqWt72AOHrVRzmsSi3/view?usp=drivesdk")</f>
        <v>https://drive.google.com/file/d/1OrX9uLKFsdS6m2KqWt72AOHrVRzmsSi3/view?usp=drivesdk</v>
      </c>
      <c r="G727" s="7" t="s">
        <v>383</v>
      </c>
      <c r="H727" s="73" t="s">
        <v>3202</v>
      </c>
      <c r="I727" s="40"/>
      <c r="J727" s="41">
        <v>22</v>
      </c>
      <c r="K727" s="41">
        <v>16</v>
      </c>
      <c r="L727" s="54">
        <v>8.4722222222222227E-2</v>
      </c>
      <c r="M727" s="39" t="s">
        <v>22</v>
      </c>
      <c r="N727" s="43" t="s">
        <v>23</v>
      </c>
      <c r="O727" s="43" t="s">
        <v>136</v>
      </c>
    </row>
    <row r="728" spans="1:15" ht="27">
      <c r="A728" s="5">
        <v>41841</v>
      </c>
      <c r="B728" s="18" t="s">
        <v>15</v>
      </c>
      <c r="C728" s="23" t="s">
        <v>16</v>
      </c>
      <c r="D728" s="7" t="s">
        <v>1009</v>
      </c>
      <c r="E728" s="67" t="s">
        <v>1010</v>
      </c>
      <c r="F728" s="85" t="str">
        <f>HYPERLINK("https://drive.google.com/file/d/1M-hJaUfBwqWKjB-DsCiPPVsxdXg-kleu/view?usp=drivesdk","https://drive.google.com/file/d/1M-hJaUfBwqWKjB-DsCiPPVsxdXg-kleu/view?usp=drivesdk")</f>
        <v>https://drive.google.com/file/d/1M-hJaUfBwqWKjB-DsCiPPVsxdXg-kleu/view?usp=drivesdk</v>
      </c>
      <c r="G728" s="7" t="s">
        <v>1011</v>
      </c>
      <c r="H728" s="95" t="s">
        <v>3264</v>
      </c>
      <c r="I728" s="10"/>
      <c r="J728" s="8">
        <v>103</v>
      </c>
      <c r="K728" s="8">
        <v>1861</v>
      </c>
      <c r="L728" s="11" t="s">
        <v>1012</v>
      </c>
      <c r="M728" s="39" t="s">
        <v>22</v>
      </c>
      <c r="N728" s="43" t="s">
        <v>675</v>
      </c>
      <c r="O728" s="43" t="s">
        <v>879</v>
      </c>
    </row>
    <row r="729" spans="1:15" ht="27" customHeight="1">
      <c r="A729" s="5">
        <v>41840</v>
      </c>
      <c r="B729" s="18" t="s">
        <v>15</v>
      </c>
      <c r="C729" s="34" t="s">
        <v>16</v>
      </c>
      <c r="D729" s="7" t="s">
        <v>1007</v>
      </c>
      <c r="E729" s="67" t="s">
        <v>1008</v>
      </c>
      <c r="F729" s="85" t="str">
        <f>HYPERLINK("https://drive.google.com/file/d/1MDKbkZE9PyWUx5ehSd90TSRFrmSz3pbv/view?usp=drivesdk","https://drive.google.com/file/d/1MDKbkZE9PyWUx5ehSd90TSRFrmSz3pbv/view?usp=drivesdk")</f>
        <v>https://drive.google.com/file/d/1MDKbkZE9PyWUx5ehSd90TSRFrmSz3pbv/view?usp=drivesdk</v>
      </c>
      <c r="G729" s="7" t="s">
        <v>1007</v>
      </c>
      <c r="H729" s="95" t="s">
        <v>3264</v>
      </c>
      <c r="I729" s="10"/>
      <c r="J729" s="8">
        <v>58</v>
      </c>
      <c r="K729" s="8">
        <v>193</v>
      </c>
      <c r="L729" s="11">
        <v>0.21249999999999999</v>
      </c>
      <c r="M729" s="39" t="s">
        <v>22</v>
      </c>
      <c r="N729" s="43" t="s">
        <v>675</v>
      </c>
      <c r="O729" s="43" t="s">
        <v>879</v>
      </c>
    </row>
    <row r="730" spans="1:15" ht="13.5">
      <c r="A730" s="5">
        <v>41833</v>
      </c>
      <c r="B730" s="18" t="s">
        <v>15</v>
      </c>
      <c r="C730" s="23" t="s">
        <v>223</v>
      </c>
      <c r="D730" s="7" t="s">
        <v>1002</v>
      </c>
      <c r="E730" s="67" t="s">
        <v>1003</v>
      </c>
      <c r="F730" s="85" t="str">
        <f>HYPERLINK("https://drive.google.com/file/d/1KHrJtp7SimRpfBgxQQ2PKItWf5twgd14/view?usp=drivesdk","https://drive.google.com/file/d/1KHrJtp7SimRpfBgxQQ2PKItWf5twgd14/view?usp=drivesdk")</f>
        <v>https://drive.google.com/file/d/1KHrJtp7SimRpfBgxQQ2PKItWf5twgd14/view?usp=drivesdk</v>
      </c>
      <c r="G730" s="7" t="s">
        <v>1002</v>
      </c>
      <c r="H730" s="95" t="s">
        <v>3215</v>
      </c>
      <c r="I730" s="16"/>
      <c r="J730" s="8">
        <v>17</v>
      </c>
      <c r="K730" s="8">
        <v>555</v>
      </c>
      <c r="L730" s="11">
        <v>8.2638888888888887E-2</v>
      </c>
      <c r="M730" s="39" t="s">
        <v>19</v>
      </c>
      <c r="N730" s="43" t="s">
        <v>294</v>
      </c>
      <c r="O730" s="43" t="s">
        <v>295</v>
      </c>
    </row>
    <row r="731" spans="1:15" ht="13.5">
      <c r="A731" s="5">
        <v>41833</v>
      </c>
      <c r="B731" s="18" t="s">
        <v>15</v>
      </c>
      <c r="C731" s="23" t="s">
        <v>16</v>
      </c>
      <c r="D731" s="7" t="s">
        <v>1004</v>
      </c>
      <c r="E731" s="68" t="s">
        <v>1005</v>
      </c>
      <c r="G731" s="7" t="s">
        <v>1006</v>
      </c>
      <c r="H731" s="95" t="s">
        <v>3215</v>
      </c>
      <c r="I731" s="16"/>
      <c r="J731" s="8">
        <v>30</v>
      </c>
      <c r="K731" s="8">
        <v>884</v>
      </c>
      <c r="L731" s="11">
        <v>9.8611111111111108E-2</v>
      </c>
      <c r="M731" s="39" t="s">
        <v>22</v>
      </c>
      <c r="N731" s="43" t="s">
        <v>675</v>
      </c>
      <c r="O731" s="43" t="s">
        <v>879</v>
      </c>
    </row>
    <row r="732" spans="1:15" ht="27">
      <c r="A732" s="5">
        <v>41826</v>
      </c>
      <c r="B732" s="18" t="s">
        <v>15</v>
      </c>
      <c r="C732" s="23" t="s">
        <v>16</v>
      </c>
      <c r="D732" s="7" t="s">
        <v>998</v>
      </c>
      <c r="E732" s="67" t="s">
        <v>999</v>
      </c>
      <c r="F732" s="85" t="str">
        <f>HYPERLINK("https://drive.google.com/file/d/1bjLp6tw0jvLaRRQ6bl6CLfKiSv5pTWZP/view?usp=drivesdk","https://drive.google.com/file/d/1bjLp6tw0jvLaRRQ6bl6CLfKiSv5pTWZP/view?usp=drivesdk")</f>
        <v>https://drive.google.com/file/d/1bjLp6tw0jvLaRRQ6bl6CLfKiSv5pTWZP/view?usp=drivesdk</v>
      </c>
      <c r="G732" s="7" t="s">
        <v>1000</v>
      </c>
      <c r="H732" s="95" t="s">
        <v>3238</v>
      </c>
      <c r="I732" s="10"/>
      <c r="J732" s="8">
        <v>146</v>
      </c>
      <c r="K732" s="8">
        <v>3100</v>
      </c>
      <c r="L732" s="11" t="s">
        <v>1001</v>
      </c>
      <c r="M732" s="39" t="s">
        <v>22</v>
      </c>
      <c r="N732" s="43" t="s">
        <v>675</v>
      </c>
      <c r="O732" s="43" t="s">
        <v>879</v>
      </c>
    </row>
    <row r="733" spans="1:15" ht="14.25" customHeight="1">
      <c r="A733" s="5">
        <v>41805</v>
      </c>
      <c r="B733" s="18" t="s">
        <v>15</v>
      </c>
      <c r="C733" s="23" t="s">
        <v>16</v>
      </c>
      <c r="D733" s="7" t="s">
        <v>241</v>
      </c>
      <c r="E733" s="67" t="s">
        <v>995</v>
      </c>
      <c r="F733" s="85" t="str">
        <f>HYPERLINK("https://drive.google.com/file/d/1YGWsmvCipD21tenUK7Vjtgc2OZnuThyK/view?usp=drivesdk","https://drive.google.com/file/d/1YGWsmvCipD21tenUK7Vjtgc2OZnuThyK/view?usp=drivesdk")</f>
        <v>https://drive.google.com/file/d/1YGWsmvCipD21tenUK7Vjtgc2OZnuThyK/view?usp=drivesdk</v>
      </c>
      <c r="G733" s="7" t="s">
        <v>996</v>
      </c>
      <c r="H733" s="95" t="s">
        <v>3207</v>
      </c>
      <c r="I733" s="7" t="s">
        <v>244</v>
      </c>
      <c r="J733" s="8">
        <v>121</v>
      </c>
      <c r="K733" s="8">
        <v>3482</v>
      </c>
      <c r="L733" s="11" t="s">
        <v>997</v>
      </c>
      <c r="M733" s="39" t="s">
        <v>720</v>
      </c>
      <c r="N733" s="43" t="s">
        <v>23</v>
      </c>
      <c r="O733" s="43" t="s">
        <v>802</v>
      </c>
    </row>
    <row r="734" spans="1:15" ht="40.5" customHeight="1">
      <c r="A734" s="5">
        <v>41804</v>
      </c>
      <c r="B734" s="18" t="s">
        <v>15</v>
      </c>
      <c r="C734" s="34" t="s">
        <v>16</v>
      </c>
      <c r="D734" s="7" t="s">
        <v>27</v>
      </c>
      <c r="E734" s="67" t="s">
        <v>994</v>
      </c>
      <c r="F734" s="85" t="str">
        <f>HYPERLINK("https://drive.google.com/file/d/1yQoMQ3RwD86SvjL5IFampXBmHW2oDU8k/view?usp=drivesdk","https://drive.google.com/file/d/1yQoMQ3RwD86SvjL5IFampXBmHW2oDU8k/view?usp=drivesdk")</f>
        <v>https://drive.google.com/file/d/1yQoMQ3RwD86SvjL5IFampXBmHW2oDU8k/view?usp=drivesdk</v>
      </c>
      <c r="G734" s="7" t="s">
        <v>27</v>
      </c>
      <c r="H734" s="95" t="s">
        <v>3208</v>
      </c>
      <c r="I734" s="81" t="s">
        <v>29</v>
      </c>
      <c r="J734" s="8">
        <v>56</v>
      </c>
      <c r="K734" s="8">
        <v>1351</v>
      </c>
      <c r="L734" s="54">
        <v>0.14097222222222219</v>
      </c>
      <c r="M734" s="39" t="s">
        <v>22</v>
      </c>
      <c r="N734" s="43" t="s">
        <v>675</v>
      </c>
      <c r="O734" s="43" t="s">
        <v>879</v>
      </c>
    </row>
    <row r="735" spans="1:15" ht="67.5" customHeight="1">
      <c r="A735" s="5">
        <v>41791</v>
      </c>
      <c r="B735" s="18" t="s">
        <v>15</v>
      </c>
      <c r="C735" s="7" t="s">
        <v>131</v>
      </c>
      <c r="D735" s="7" t="s">
        <v>992</v>
      </c>
      <c r="E735" s="68" t="s">
        <v>993</v>
      </c>
      <c r="F735" s="85" t="str">
        <f>HYPERLINK("https://drive.google.com/file/d/1glCYsqjgE1ywGX4ttf5SQgvxUHUK8lgm/view?usp=drivesdk","https://drive.google.com/file/d/1glCYsqjgE1ywGX4ttf5SQgvxUHUK8lgm/view?usp=drivesdk")</f>
        <v>https://drive.google.com/file/d/1glCYsqjgE1ywGX4ttf5SQgvxUHUK8lgm/view?usp=drivesdk</v>
      </c>
      <c r="G735" s="7" t="s">
        <v>133</v>
      </c>
      <c r="H735" s="95" t="s">
        <v>3203</v>
      </c>
      <c r="I735" s="10"/>
      <c r="J735" s="8">
        <v>21</v>
      </c>
      <c r="K735" s="8">
        <v>1255</v>
      </c>
      <c r="L735" s="54">
        <v>6.3194444444444442E-2</v>
      </c>
      <c r="M735" s="39" t="s">
        <v>22</v>
      </c>
      <c r="N735" s="43" t="s">
        <v>23</v>
      </c>
      <c r="O735" s="43" t="s">
        <v>136</v>
      </c>
    </row>
    <row r="736" spans="1:15" ht="27" customHeight="1">
      <c r="A736" s="5">
        <v>41784</v>
      </c>
      <c r="B736" s="18" t="s">
        <v>15</v>
      </c>
      <c r="C736" s="34" t="s">
        <v>16</v>
      </c>
      <c r="D736" s="7" t="s">
        <v>349</v>
      </c>
      <c r="E736" s="67" t="s">
        <v>990</v>
      </c>
      <c r="F736" s="85" t="str">
        <f>HYPERLINK("https://drive.google.com/file/d/1iCOHtorOxDBVA3sjkypRRwTu6wJ7lusW/view?usp=drivesdk","https://drive.google.com/file/d/1iCOHtorOxDBVA3sjkypRRwTu6wJ7lusW/view?usp=drivesdk")</f>
        <v>https://drive.google.com/file/d/1iCOHtorOxDBVA3sjkypRRwTu6wJ7lusW/view?usp=drivesdk</v>
      </c>
      <c r="G736" s="7" t="s">
        <v>991</v>
      </c>
      <c r="H736" s="95" t="s">
        <v>3264</v>
      </c>
      <c r="I736" s="10"/>
      <c r="J736" s="8">
        <v>90</v>
      </c>
      <c r="K736" s="8">
        <v>1139</v>
      </c>
      <c r="L736" s="11">
        <v>0.24652777777777779</v>
      </c>
      <c r="M736" s="39" t="s">
        <v>22</v>
      </c>
      <c r="N736" s="43" t="s">
        <v>675</v>
      </c>
      <c r="O736" s="43" t="s">
        <v>676</v>
      </c>
    </row>
    <row r="737" spans="1:15" ht="27" customHeight="1">
      <c r="A737" s="5">
        <v>41783</v>
      </c>
      <c r="B737" s="18" t="s">
        <v>15</v>
      </c>
      <c r="C737" s="34" t="s">
        <v>16</v>
      </c>
      <c r="D737" s="7" t="s">
        <v>27</v>
      </c>
      <c r="E737" s="67" t="s">
        <v>989</v>
      </c>
      <c r="F737" s="85" t="str">
        <f>HYPERLINK("https://drive.google.com/file/d/1MPTV5afUvucKxbGVCCgFocAFG6fG_8Y7/view?usp=drivesdk","https://drive.google.com/file/d/1MPTV5afUvucKxbGVCCgFocAFG6fG_8Y7/view?usp=drivesdk")</f>
        <v>https://drive.google.com/file/d/1MPTV5afUvucKxbGVCCgFocAFG6fG_8Y7/view?usp=drivesdk</v>
      </c>
      <c r="G737" s="7" t="s">
        <v>346</v>
      </c>
      <c r="H737" s="96" t="s">
        <v>222</v>
      </c>
      <c r="I737" s="81" t="s">
        <v>29</v>
      </c>
      <c r="J737" s="8">
        <v>50</v>
      </c>
      <c r="K737" s="8">
        <v>297</v>
      </c>
      <c r="L737" s="54">
        <v>8.0555555555555561E-2</v>
      </c>
      <c r="M737" s="39" t="s">
        <v>22</v>
      </c>
      <c r="N737" s="43" t="s">
        <v>675</v>
      </c>
      <c r="O737" s="43" t="s">
        <v>879</v>
      </c>
    </row>
    <row r="738" spans="1:15">
      <c r="A738" s="5">
        <v>41769</v>
      </c>
      <c r="B738" s="18" t="s">
        <v>15</v>
      </c>
      <c r="C738" s="23" t="s">
        <v>16</v>
      </c>
      <c r="D738" s="7" t="s">
        <v>253</v>
      </c>
      <c r="E738" s="67" t="s">
        <v>986</v>
      </c>
      <c r="F738" s="85" t="str">
        <f>HYPERLINK("https://drive.google.com/file/d/1jemUZ9-B2TCtreXIxXN2QPcAhznODKdi/view?usp=drivesdk","https://drive.google.com/file/d/1jemUZ9-B2TCtreXIxXN2QPcAhznODKdi/view?usp=drivesdk")</f>
        <v>https://drive.google.com/file/d/1jemUZ9-B2TCtreXIxXN2QPcAhznODKdi/view?usp=drivesdk</v>
      </c>
      <c r="G738" s="7" t="s">
        <v>987</v>
      </c>
      <c r="H738" s="95" t="s">
        <v>3348</v>
      </c>
      <c r="I738" s="10"/>
      <c r="J738" s="8">
        <v>192</v>
      </c>
      <c r="K738" s="8">
        <v>2408</v>
      </c>
      <c r="L738" s="11" t="s">
        <v>988</v>
      </c>
      <c r="M738" s="39" t="s">
        <v>22</v>
      </c>
      <c r="N738" s="43" t="s">
        <v>675</v>
      </c>
      <c r="O738" s="43" t="s">
        <v>879</v>
      </c>
    </row>
    <row r="739" spans="1:15" ht="27" customHeight="1">
      <c r="A739" s="5">
        <v>41765</v>
      </c>
      <c r="B739" s="18" t="s">
        <v>15</v>
      </c>
      <c r="C739" s="23" t="s">
        <v>16</v>
      </c>
      <c r="D739" s="7" t="s">
        <v>170</v>
      </c>
      <c r="E739" s="67" t="s">
        <v>984</v>
      </c>
      <c r="F739" s="85" t="str">
        <f>HYPERLINK("https://drive.google.com/file/d/1_UGBnmjWrCmV0vTavEE_Vn2cUZdGtRa3/view?usp=drivesdk","https://drive.google.com/file/d/1_UGBnmjWrCmV0vTavEE_Vn2cUZdGtRa3/view?usp=drivesdk")</f>
        <v>https://drive.google.com/file/d/1_UGBnmjWrCmV0vTavEE_Vn2cUZdGtRa3/view?usp=drivesdk</v>
      </c>
      <c r="G739" s="7" t="s">
        <v>985</v>
      </c>
      <c r="H739" s="95" t="s">
        <v>3264</v>
      </c>
      <c r="I739" s="40"/>
      <c r="J739" s="41"/>
      <c r="K739" s="41">
        <v>621</v>
      </c>
      <c r="L739" s="46">
        <v>0.1791666666666667</v>
      </c>
      <c r="M739" s="39" t="s">
        <v>22</v>
      </c>
      <c r="N739" s="43" t="s">
        <v>675</v>
      </c>
      <c r="O739" s="43" t="s">
        <v>879</v>
      </c>
    </row>
    <row r="740" spans="1:15" ht="27" customHeight="1">
      <c r="A740" s="5">
        <v>41763</v>
      </c>
      <c r="B740" s="18" t="s">
        <v>15</v>
      </c>
      <c r="C740" s="23" t="s">
        <v>16</v>
      </c>
      <c r="D740" s="7" t="s">
        <v>981</v>
      </c>
      <c r="E740" s="67" t="s">
        <v>982</v>
      </c>
      <c r="F740" s="85" t="str">
        <f>HYPERLINK("https://drive.google.com/file/d/13-EawqwSHdrY6mBetPeroCwzKc_eLJBE/view?usp=drivesdk","https://drive.google.com/file/d/13-EawqwSHdrY6mBetPeroCwzKc_eLJBE/view?usp=drivesdk")</f>
        <v>https://drive.google.com/file/d/13-EawqwSHdrY6mBetPeroCwzKc_eLJBE/view?usp=drivesdk</v>
      </c>
      <c r="G740" s="7" t="s">
        <v>983</v>
      </c>
      <c r="H740" s="95" t="s">
        <v>3202</v>
      </c>
      <c r="I740" s="58"/>
      <c r="J740" s="8">
        <v>58</v>
      </c>
      <c r="K740" s="8">
        <v>1050</v>
      </c>
      <c r="L740" s="11" t="s">
        <v>980</v>
      </c>
      <c r="M740" s="39" t="s">
        <v>22</v>
      </c>
      <c r="N740" s="43" t="s">
        <v>675</v>
      </c>
      <c r="O740" s="43" t="s">
        <v>879</v>
      </c>
    </row>
    <row r="741" spans="1:15" ht="27" customHeight="1">
      <c r="A741" s="5">
        <v>41762</v>
      </c>
      <c r="B741" s="18" t="s">
        <v>15</v>
      </c>
      <c r="C741" s="34" t="s">
        <v>16</v>
      </c>
      <c r="D741" s="7" t="s">
        <v>977</v>
      </c>
      <c r="E741" s="67" t="s">
        <v>978</v>
      </c>
      <c r="F741" s="85" t="str">
        <f>HYPERLINK("https://drive.google.com/file/d/1My9W-F0rLlfFPZuTVhyfVAiRxOV1V-g3/view?usp=drivesdk","https://drive.google.com/file/d/1My9W-F0rLlfFPZuTVhyfVAiRxOV1V-g3/view?usp=drivesdk")</f>
        <v>https://drive.google.com/file/d/1My9W-F0rLlfFPZuTVhyfVAiRxOV1V-g3/view?usp=drivesdk</v>
      </c>
      <c r="G741" s="7" t="s">
        <v>979</v>
      </c>
      <c r="H741" s="73" t="s">
        <v>138</v>
      </c>
      <c r="I741" s="10"/>
      <c r="J741" s="8">
        <v>38</v>
      </c>
      <c r="K741" s="8">
        <v>429</v>
      </c>
      <c r="L741" s="11" t="s">
        <v>980</v>
      </c>
      <c r="M741" s="39" t="s">
        <v>22</v>
      </c>
      <c r="N741" s="43" t="s">
        <v>23</v>
      </c>
      <c r="O741" s="43" t="s">
        <v>136</v>
      </c>
    </row>
    <row r="742" spans="1:15" ht="40.5" customHeight="1">
      <c r="A742" s="5">
        <v>41761</v>
      </c>
      <c r="B742" s="18" t="s">
        <v>15</v>
      </c>
      <c r="C742" s="34" t="s">
        <v>16</v>
      </c>
      <c r="D742" s="7" t="s">
        <v>698</v>
      </c>
      <c r="E742" s="67" t="s">
        <v>974</v>
      </c>
      <c r="F742" s="85" t="str">
        <f>HYPERLINK("https://drive.google.com/file/d/18NNedxPnN00dMx_M6dTjCH6MgjdOqYYz/view?usp=drivesdk","https://drive.google.com/file/d/18NNedxPnN00dMx_M6dTjCH6MgjdOqYYz/view?usp=drivesdk")</f>
        <v>https://drive.google.com/file/d/18NNedxPnN00dMx_M6dTjCH6MgjdOqYYz/view?usp=drivesdk</v>
      </c>
      <c r="G742" s="7" t="s">
        <v>975</v>
      </c>
      <c r="H742" s="95" t="s">
        <v>3235</v>
      </c>
      <c r="I742" s="10"/>
      <c r="J742" s="8">
        <v>82</v>
      </c>
      <c r="K742" s="8">
        <v>1560</v>
      </c>
      <c r="L742" s="11" t="s">
        <v>976</v>
      </c>
      <c r="M742" s="39" t="s">
        <v>22</v>
      </c>
      <c r="N742" s="43" t="s">
        <v>675</v>
      </c>
      <c r="O742" s="43" t="s">
        <v>879</v>
      </c>
    </row>
    <row r="743" spans="1:15" ht="27" customHeight="1">
      <c r="A743" s="5">
        <v>41760</v>
      </c>
      <c r="B743" s="18" t="s">
        <v>15</v>
      </c>
      <c r="C743" s="23" t="s">
        <v>16</v>
      </c>
      <c r="D743" s="21" t="s">
        <v>32</v>
      </c>
      <c r="E743" s="67" t="s">
        <v>973</v>
      </c>
      <c r="F743" s="85" t="str">
        <f>HYPERLINK("https://drive.google.com/file/d/1_tyGUIDVfopXRfRlyP2wMkrn5IAG40yz/view?usp=drivesdk","https://drive.google.com/file/d/1_tyGUIDVfopXRfRlyP2wMkrn5IAG40yz/view?usp=drivesdk")</f>
        <v>https://drive.google.com/file/d/1_tyGUIDVfopXRfRlyP2wMkrn5IAG40yz/view?usp=drivesdk</v>
      </c>
      <c r="G743" s="21" t="s">
        <v>820</v>
      </c>
      <c r="H743" s="73" t="s">
        <v>222</v>
      </c>
      <c r="I743" s="40"/>
      <c r="J743" s="41">
        <v>46</v>
      </c>
      <c r="K743" s="41">
        <v>185</v>
      </c>
      <c r="L743" s="54">
        <v>0.22916666666666671</v>
      </c>
      <c r="M743" s="39" t="s">
        <v>102</v>
      </c>
      <c r="N743" s="43" t="s">
        <v>194</v>
      </c>
      <c r="O743" s="43" t="s">
        <v>195</v>
      </c>
    </row>
    <row r="744" spans="1:15" ht="27" customHeight="1">
      <c r="A744" s="5">
        <v>41756</v>
      </c>
      <c r="B744" s="18" t="s">
        <v>15</v>
      </c>
      <c r="C744" s="23" t="s">
        <v>16</v>
      </c>
      <c r="D744" s="7" t="s">
        <v>970</v>
      </c>
      <c r="E744" s="67" t="s">
        <v>971</v>
      </c>
      <c r="F744" s="85" t="str">
        <f>HYPERLINK("https://drive.google.com/file/d/1K0Js4zDHI3YRDd_3QBIwYx4jdJqTqAmk/view?usp=drivesdk","https://drive.google.com/file/d/1K0Js4zDHI3YRDd_3QBIwYx4jdJqTqAmk/view?usp=drivesdk")</f>
        <v>https://drive.google.com/file/d/1K0Js4zDHI3YRDd_3QBIwYx4jdJqTqAmk/view?usp=drivesdk</v>
      </c>
      <c r="G744" s="7" t="s">
        <v>970</v>
      </c>
      <c r="H744" s="95" t="s">
        <v>3224</v>
      </c>
      <c r="I744" s="10"/>
      <c r="J744" s="8">
        <v>62</v>
      </c>
      <c r="K744" s="8">
        <v>1264</v>
      </c>
      <c r="L744" s="11" t="s">
        <v>972</v>
      </c>
      <c r="M744" s="39" t="s">
        <v>22</v>
      </c>
      <c r="N744" s="43" t="s">
        <v>675</v>
      </c>
      <c r="O744" s="43" t="s">
        <v>879</v>
      </c>
    </row>
    <row r="745" spans="1:15" ht="27" customHeight="1">
      <c r="A745" s="5">
        <v>41755</v>
      </c>
      <c r="B745" s="18" t="s">
        <v>15</v>
      </c>
      <c r="C745" s="23" t="s">
        <v>16</v>
      </c>
      <c r="D745" s="7" t="s">
        <v>966</v>
      </c>
      <c r="E745" s="67" t="s">
        <v>967</v>
      </c>
      <c r="F745" s="85" t="str">
        <f>HYPERLINK("https://drive.google.com/file/d/1PwzQUentHpzr5YlEjjPCj8bUultFV48w/view?usp=drivesdk","https://drive.google.com/file/d/1PwzQUentHpzr5YlEjjPCj8bUultFV48w/view?usp=drivesdk")</f>
        <v>https://drive.google.com/file/d/1PwzQUentHpzr5YlEjjPCj8bUultFV48w/view?usp=drivesdk</v>
      </c>
      <c r="G745" s="7" t="s">
        <v>968</v>
      </c>
      <c r="H745" s="95" t="s">
        <v>3202</v>
      </c>
      <c r="I745" s="10"/>
      <c r="J745" s="8">
        <v>160</v>
      </c>
      <c r="K745" s="8">
        <v>3072</v>
      </c>
      <c r="L745" s="11" t="s">
        <v>969</v>
      </c>
      <c r="M745" s="39" t="s">
        <v>22</v>
      </c>
      <c r="N745" s="43" t="s">
        <v>675</v>
      </c>
      <c r="O745" s="43" t="s">
        <v>879</v>
      </c>
    </row>
    <row r="746" spans="1:15" ht="54" customHeight="1">
      <c r="A746" s="5">
        <v>41742</v>
      </c>
      <c r="B746" s="18" t="s">
        <v>15</v>
      </c>
      <c r="C746" s="23" t="s">
        <v>16</v>
      </c>
      <c r="D746" s="7" t="s">
        <v>566</v>
      </c>
      <c r="E746" s="67" t="s">
        <v>963</v>
      </c>
      <c r="F746" s="85" t="str">
        <f>HYPERLINK("https://drive.google.com/file/d/1IpBlqMNJvcx_HqjXiZ14EAx9Tx2d5eIW/view?usp=drivesdk","https://drive.google.com/file/d/1IpBlqMNJvcx_HqjXiZ14EAx9Tx2d5eIW/view?usp=drivesdk")</f>
        <v>https://drive.google.com/file/d/1IpBlqMNJvcx_HqjXiZ14EAx9Tx2d5eIW/view?usp=drivesdk</v>
      </c>
      <c r="G746" s="7" t="s">
        <v>964</v>
      </c>
      <c r="H746" s="95" t="s">
        <v>3347</v>
      </c>
      <c r="I746" s="10"/>
      <c r="J746" s="8">
        <v>209</v>
      </c>
      <c r="K746" s="8">
        <v>1141</v>
      </c>
      <c r="L746" s="11" t="s">
        <v>965</v>
      </c>
      <c r="M746" s="39" t="s">
        <v>22</v>
      </c>
      <c r="N746" s="43" t="s">
        <v>23</v>
      </c>
      <c r="O746" s="43" t="s">
        <v>136</v>
      </c>
    </row>
    <row r="747" spans="1:15" ht="27" customHeight="1">
      <c r="A747" s="5">
        <v>41741</v>
      </c>
      <c r="B747" s="18" t="s">
        <v>15</v>
      </c>
      <c r="C747" s="23" t="s">
        <v>16</v>
      </c>
      <c r="D747" s="7" t="s">
        <v>253</v>
      </c>
      <c r="E747" s="67" t="s">
        <v>962</v>
      </c>
      <c r="F747" s="85" t="str">
        <f>HYPERLINK("https://drive.google.com/file/d/1AvTNqM1sqgdCOU8uvI6EmyhHQqgZALF9/view?usp=drivesdk","https://drive.google.com/file/d/1AvTNqM1sqgdCOU8uvI6EmyhHQqgZALF9/view?usp=drivesdk")</f>
        <v>https://drive.google.com/file/d/1AvTNqM1sqgdCOU8uvI6EmyhHQqgZALF9/view?usp=drivesdk</v>
      </c>
      <c r="G747" s="7" t="s">
        <v>738</v>
      </c>
      <c r="H747" s="95" t="s">
        <v>3348</v>
      </c>
      <c r="I747" s="13" t="s">
        <v>47</v>
      </c>
      <c r="J747" s="8">
        <v>170</v>
      </c>
      <c r="K747" s="8">
        <v>1800</v>
      </c>
      <c r="L747" s="11">
        <v>0.40625</v>
      </c>
      <c r="M747" s="39" t="s">
        <v>22</v>
      </c>
      <c r="N747" s="43" t="s">
        <v>675</v>
      </c>
      <c r="O747" s="43" t="s">
        <v>879</v>
      </c>
    </row>
    <row r="748" spans="1:15" ht="40.5" customHeight="1">
      <c r="A748" s="5">
        <v>41721</v>
      </c>
      <c r="B748" s="18" t="s">
        <v>15</v>
      </c>
      <c r="C748" s="23" t="s">
        <v>16</v>
      </c>
      <c r="D748" s="21" t="s">
        <v>682</v>
      </c>
      <c r="E748" s="67" t="s">
        <v>960</v>
      </c>
      <c r="F748" s="85" t="str">
        <f>HYPERLINK("https://drive.google.com/file/d/1KaYMdEOSYqkycfyAEK-4y9EjDsC7vzGe/view?usp=drivesdk","https://drive.google.com/file/d/1KaYMdEOSYqkycfyAEK-4y9EjDsC7vzGe/view?usp=drivesdk")</f>
        <v>https://drive.google.com/file/d/1KaYMdEOSYqkycfyAEK-4y9EjDsC7vzGe/view?usp=drivesdk</v>
      </c>
      <c r="G748" s="21" t="s">
        <v>961</v>
      </c>
      <c r="H748" s="95" t="s">
        <v>3193</v>
      </c>
      <c r="I748" s="40"/>
      <c r="J748" s="41">
        <v>29</v>
      </c>
      <c r="K748" s="41">
        <v>730</v>
      </c>
      <c r="L748" s="54">
        <v>0.1048611111111111</v>
      </c>
      <c r="M748" s="39" t="s">
        <v>22</v>
      </c>
      <c r="N748" s="43" t="s">
        <v>675</v>
      </c>
      <c r="O748" s="43" t="s">
        <v>879</v>
      </c>
    </row>
    <row r="749" spans="1:15" ht="40.5" customHeight="1">
      <c r="A749" s="5">
        <v>41720</v>
      </c>
      <c r="B749" s="18" t="s">
        <v>15</v>
      </c>
      <c r="C749" s="23" t="s">
        <v>16</v>
      </c>
      <c r="D749" s="7" t="s">
        <v>354</v>
      </c>
      <c r="E749" s="67" t="s">
        <v>957</v>
      </c>
      <c r="F749" s="85" t="str">
        <f>HYPERLINK("https://drive.google.com/file/d/1MW7XoYgNl6MAol3DslAygi5mFTGE5j9t/view?usp=drivesdk","https://drive.google.com/file/d/1MW7XoYgNl6MAol3DslAygi5mFTGE5j9t/view?usp=drivesdk")</f>
        <v>https://drive.google.com/file/d/1MW7XoYgNl6MAol3DslAygi5mFTGE5j9t/view?usp=drivesdk</v>
      </c>
      <c r="G749" s="7" t="s">
        <v>958</v>
      </c>
      <c r="H749" s="95" t="s">
        <v>3225</v>
      </c>
      <c r="I749" s="10" t="s">
        <v>357</v>
      </c>
      <c r="J749" s="8">
        <v>215</v>
      </c>
      <c r="K749" s="8">
        <v>3649</v>
      </c>
      <c r="L749" s="11" t="s">
        <v>959</v>
      </c>
      <c r="M749" s="39" t="s">
        <v>22</v>
      </c>
      <c r="N749" s="43" t="s">
        <v>675</v>
      </c>
      <c r="O749" s="43" t="s">
        <v>879</v>
      </c>
    </row>
    <row r="750" spans="1:15" ht="40.5" customHeight="1">
      <c r="A750" s="5">
        <v>41714</v>
      </c>
      <c r="B750" s="18" t="s">
        <v>15</v>
      </c>
      <c r="C750" s="34" t="s">
        <v>16</v>
      </c>
      <c r="D750" s="21" t="s">
        <v>954</v>
      </c>
      <c r="E750" s="67" t="s">
        <v>955</v>
      </c>
      <c r="F750" s="85" t="str">
        <f>HYPERLINK("https://drive.google.com/file/d/1TFYr9ekRRy78OmWVz6XFVgwZOvRe_p2D/view?usp=drivesdk","https://drive.google.com/file/d/1TFYr9ekRRy78OmWVz6XFVgwZOvRe_p2D/view?usp=drivesdk")</f>
        <v>https://drive.google.com/file/d/1TFYr9ekRRy78OmWVz6XFVgwZOvRe_p2D/view?usp=drivesdk</v>
      </c>
      <c r="G750" s="21" t="s">
        <v>956</v>
      </c>
      <c r="H750" s="95" t="s">
        <v>3209</v>
      </c>
      <c r="I750" s="40"/>
      <c r="J750" s="41">
        <v>61</v>
      </c>
      <c r="K750" s="41">
        <v>397</v>
      </c>
      <c r="L750" s="46">
        <v>0.29722222222222222</v>
      </c>
      <c r="M750" s="39" t="s">
        <v>22</v>
      </c>
      <c r="N750" s="43" t="s">
        <v>675</v>
      </c>
      <c r="O750" s="43" t="s">
        <v>879</v>
      </c>
    </row>
    <row r="751" spans="1:15" ht="40.5">
      <c r="A751" s="5">
        <v>41707</v>
      </c>
      <c r="B751" s="18" t="s">
        <v>15</v>
      </c>
      <c r="C751" s="34" t="s">
        <v>16</v>
      </c>
      <c r="D751" s="7" t="s">
        <v>951</v>
      </c>
      <c r="E751" s="67" t="s">
        <v>952</v>
      </c>
      <c r="F751" s="85" t="str">
        <f>HYPERLINK("https://drive.google.com/file/d/1JTkyXvg-50h3Lr2vLUV3_MWkIXIk_EOA/view?usp=drivesdk","https://drive.google.com/file/d/1JTkyXvg-50h3Lr2vLUV3_MWkIXIk_EOA/view?usp=drivesdk")</f>
        <v>https://drive.google.com/file/d/1JTkyXvg-50h3Lr2vLUV3_MWkIXIk_EOA/view?usp=drivesdk</v>
      </c>
      <c r="G751" s="7" t="s">
        <v>953</v>
      </c>
      <c r="H751" s="95" t="s">
        <v>3209</v>
      </c>
      <c r="I751" s="10"/>
      <c r="J751" s="8">
        <v>128</v>
      </c>
      <c r="K751" s="8"/>
      <c r="L751" s="11">
        <v>0.37152777777777779</v>
      </c>
      <c r="M751" s="39" t="s">
        <v>22</v>
      </c>
      <c r="N751" s="43" t="s">
        <v>675</v>
      </c>
      <c r="O751" s="43" t="s">
        <v>879</v>
      </c>
    </row>
    <row r="752" spans="1:15" ht="27" customHeight="1">
      <c r="A752" s="5">
        <v>41706</v>
      </c>
      <c r="B752" s="18" t="s">
        <v>15</v>
      </c>
      <c r="C752" s="34" t="s">
        <v>16</v>
      </c>
      <c r="D752" s="7" t="s">
        <v>948</v>
      </c>
      <c r="E752" s="67" t="s">
        <v>949</v>
      </c>
      <c r="F752" s="85" t="str">
        <f>HYPERLINK("https://drive.google.com/file/d/1gqjwPmcyrpZEdIbqzm35MCJWWQvgRThY/view?usp=drivesdk","https://drive.google.com/file/d/1gqjwPmcyrpZEdIbqzm35MCJWWQvgRThY/view?usp=drivesdk")</f>
        <v>https://drive.google.com/file/d/1gqjwPmcyrpZEdIbqzm35MCJWWQvgRThY/view?usp=drivesdk</v>
      </c>
      <c r="G752" s="7" t="s">
        <v>950</v>
      </c>
      <c r="H752" s="95" t="s">
        <v>3193</v>
      </c>
      <c r="I752" s="24" t="s">
        <v>40</v>
      </c>
      <c r="J752" s="8">
        <v>60</v>
      </c>
      <c r="K752" s="8"/>
      <c r="L752" s="11">
        <v>0.2590277777777778</v>
      </c>
      <c r="M752" s="39" t="s">
        <v>720</v>
      </c>
      <c r="N752" s="43" t="s">
        <v>23</v>
      </c>
      <c r="O752" s="43" t="s">
        <v>802</v>
      </c>
    </row>
    <row r="753" spans="1:15" ht="40.5" customHeight="1">
      <c r="A753" s="5">
        <v>41699</v>
      </c>
      <c r="B753" s="18" t="s">
        <v>15</v>
      </c>
      <c r="C753" s="34" t="s">
        <v>16</v>
      </c>
      <c r="D753" s="7" t="s">
        <v>943</v>
      </c>
      <c r="E753" s="67" t="s">
        <v>944</v>
      </c>
      <c r="F753" s="85" t="str">
        <f>HYPERLINK("https://drive.google.com/file/d/1PceIl5o0lPzVCVbJ2L8aI-yRwHOzycVq/view?usp=drivesdk","https://drive.google.com/file/d/1PceIl5o0lPzVCVbJ2L8aI-yRwHOzycVq/view?usp=drivesdk")</f>
        <v>https://drive.google.com/file/d/1PceIl5o0lPzVCVbJ2L8aI-yRwHOzycVq/view?usp=drivesdk</v>
      </c>
      <c r="G753" s="7" t="s">
        <v>945</v>
      </c>
      <c r="H753" s="73" t="s">
        <v>3225</v>
      </c>
      <c r="I753" s="24" t="s">
        <v>40</v>
      </c>
      <c r="J753" s="8">
        <v>8</v>
      </c>
      <c r="K753" s="8"/>
      <c r="L753" s="11">
        <v>0.11805555555555559</v>
      </c>
      <c r="M753" s="39" t="s">
        <v>22</v>
      </c>
      <c r="N753" s="43" t="s">
        <v>675</v>
      </c>
      <c r="O753" s="43" t="s">
        <v>879</v>
      </c>
    </row>
    <row r="754" spans="1:15" ht="14.25" customHeight="1">
      <c r="A754" s="5">
        <v>41699</v>
      </c>
      <c r="B754" s="18" t="s">
        <v>15</v>
      </c>
      <c r="C754" s="34" t="s">
        <v>16</v>
      </c>
      <c r="D754" s="7" t="s">
        <v>943</v>
      </c>
      <c r="E754" s="67" t="s">
        <v>946</v>
      </c>
      <c r="G754" s="21" t="s">
        <v>947</v>
      </c>
      <c r="H754" s="73" t="s">
        <v>3225</v>
      </c>
      <c r="I754" s="24" t="s">
        <v>40</v>
      </c>
      <c r="J754" s="41">
        <v>11</v>
      </c>
      <c r="K754" s="41">
        <v>21</v>
      </c>
      <c r="L754" s="54">
        <v>7.5694444444444439E-2</v>
      </c>
      <c r="M754" s="39" t="s">
        <v>22</v>
      </c>
      <c r="N754" s="43" t="s">
        <v>675</v>
      </c>
      <c r="O754" s="43" t="s">
        <v>879</v>
      </c>
    </row>
    <row r="755" spans="1:15" ht="27" customHeight="1">
      <c r="A755" s="5">
        <v>41693</v>
      </c>
      <c r="B755" s="18" t="s">
        <v>15</v>
      </c>
      <c r="C755" s="23" t="s">
        <v>16</v>
      </c>
      <c r="D755" s="7" t="s">
        <v>940</v>
      </c>
      <c r="E755" s="67" t="s">
        <v>941</v>
      </c>
      <c r="F755" s="85" t="str">
        <f>HYPERLINK("https://drive.google.com/file/d/1P5ybBEj5neb1WHNrBViJ_ocEGDY-nXMy/view?usp=drivesdk","https://drive.google.com/file/d/1P5ybBEj5neb1WHNrBViJ_ocEGDY-nXMy/view?usp=drivesdk")</f>
        <v>https://drive.google.com/file/d/1P5ybBEj5neb1WHNrBViJ_ocEGDY-nXMy/view?usp=drivesdk</v>
      </c>
      <c r="G755" s="7" t="s">
        <v>942</v>
      </c>
      <c r="H755" s="95" t="s">
        <v>3216</v>
      </c>
      <c r="I755" s="10"/>
      <c r="J755" s="8">
        <v>144</v>
      </c>
      <c r="K755" s="8"/>
      <c r="L755" s="11">
        <v>0.31944444444444442</v>
      </c>
      <c r="M755" s="39" t="s">
        <v>22</v>
      </c>
      <c r="N755" s="43" t="s">
        <v>675</v>
      </c>
      <c r="O755" s="43" t="s">
        <v>879</v>
      </c>
    </row>
    <row r="756" spans="1:15" ht="54" customHeight="1">
      <c r="A756" s="5">
        <v>41683</v>
      </c>
      <c r="B756" s="18" t="s">
        <v>15</v>
      </c>
      <c r="C756" s="34" t="s">
        <v>16</v>
      </c>
      <c r="D756" s="21" t="s">
        <v>32</v>
      </c>
      <c r="E756" s="67" t="s">
        <v>939</v>
      </c>
      <c r="G756" s="21" t="s">
        <v>820</v>
      </c>
      <c r="H756" s="73" t="s">
        <v>222</v>
      </c>
      <c r="I756" s="40"/>
      <c r="J756" s="41">
        <v>47</v>
      </c>
      <c r="K756" s="41">
        <v>299</v>
      </c>
      <c r="L756" s="54">
        <v>0.1875</v>
      </c>
      <c r="M756" s="39" t="s">
        <v>102</v>
      </c>
      <c r="N756" s="43" t="s">
        <v>194</v>
      </c>
      <c r="O756" s="43" t="s">
        <v>195</v>
      </c>
    </row>
    <row r="757" spans="1:15" ht="40.5" customHeight="1">
      <c r="A757" s="5">
        <v>41681</v>
      </c>
      <c r="B757" s="18" t="s">
        <v>15</v>
      </c>
      <c r="C757" s="34" t="s">
        <v>16</v>
      </c>
      <c r="D757" s="21" t="s">
        <v>32</v>
      </c>
      <c r="E757" s="67" t="s">
        <v>938</v>
      </c>
      <c r="F757" s="85" t="str">
        <f>HYPERLINK("https://drive.google.com/file/d/1bvXU0wyHL38SXoaN_G4j7slx2NyyCNEi/view?usp=drivesdk","https://drive.google.com/file/d/1bvXU0wyHL38SXoaN_G4j7slx2NyyCNEi/view?usp=drivesdk")</f>
        <v>https://drive.google.com/file/d/1bvXU0wyHL38SXoaN_G4j7slx2NyyCNEi/view?usp=drivesdk</v>
      </c>
      <c r="G757" s="21" t="s">
        <v>820</v>
      </c>
      <c r="H757" s="73" t="s">
        <v>222</v>
      </c>
      <c r="I757" s="40"/>
      <c r="J757" s="41">
        <v>50</v>
      </c>
      <c r="K757" s="41">
        <v>205</v>
      </c>
      <c r="L757" s="54">
        <v>0.23472222222222219</v>
      </c>
      <c r="M757" s="39" t="s">
        <v>102</v>
      </c>
      <c r="N757" s="43" t="s">
        <v>194</v>
      </c>
      <c r="O757" s="43" t="s">
        <v>195</v>
      </c>
    </row>
    <row r="758" spans="1:15" ht="67.5" customHeight="1">
      <c r="A758" s="5">
        <v>41678</v>
      </c>
      <c r="B758" s="18" t="s">
        <v>15</v>
      </c>
      <c r="C758" s="34" t="s">
        <v>16</v>
      </c>
      <c r="D758" s="7" t="s">
        <v>936</v>
      </c>
      <c r="E758" s="67" t="s">
        <v>937</v>
      </c>
      <c r="F758" s="85" t="str">
        <f>HYPERLINK("https://drive.google.com/file/d/1zcC2t_TggkIm8QTG4vY99vDtOMBMd4X0/view?usp=drivesdk","https://drive.google.com/file/d/1zcC2t_TggkIm8QTG4vY99vDtOMBMd4X0/view?usp=drivesdk")</f>
        <v>https://drive.google.com/file/d/1zcC2t_TggkIm8QTG4vY99vDtOMBMd4X0/view?usp=drivesdk</v>
      </c>
      <c r="G758" s="7" t="s">
        <v>190</v>
      </c>
      <c r="H758" s="95" t="s">
        <v>3208</v>
      </c>
      <c r="I758" s="10"/>
      <c r="J758" s="8">
        <v>28</v>
      </c>
      <c r="K758" s="8"/>
      <c r="L758" s="11"/>
      <c r="M758" s="39" t="s">
        <v>19</v>
      </c>
      <c r="N758" s="43" t="s">
        <v>294</v>
      </c>
      <c r="O758" s="43" t="s">
        <v>295</v>
      </c>
    </row>
    <row r="759" spans="1:15" ht="40.5">
      <c r="A759" s="5">
        <v>41672</v>
      </c>
      <c r="B759" s="18" t="s">
        <v>15</v>
      </c>
      <c r="C759" s="23" t="s">
        <v>196</v>
      </c>
      <c r="D759" s="7" t="s">
        <v>933</v>
      </c>
      <c r="E759" s="67" t="s">
        <v>934</v>
      </c>
      <c r="F759" s="85" t="str">
        <f>HYPERLINK("https://drive.google.com/file/d/1s8MjXwCi3A_aNHK1EE8lfHg72C6RypgT/view?usp=drivesdk","https://drive.google.com/file/d/1s8MjXwCi3A_aNHK1EE8lfHg72C6RypgT/view?usp=drivesdk")</f>
        <v>https://drive.google.com/file/d/1s8MjXwCi3A_aNHK1EE8lfHg72C6RypgT/view?usp=drivesdk</v>
      </c>
      <c r="G759" s="7" t="s">
        <v>935</v>
      </c>
      <c r="H759" s="95" t="s">
        <v>3209</v>
      </c>
      <c r="I759" s="10"/>
      <c r="J759" s="8">
        <v>60</v>
      </c>
      <c r="K759" s="8">
        <v>2622</v>
      </c>
      <c r="L759" s="11">
        <v>0.37708333333333333</v>
      </c>
      <c r="M759" s="39" t="s">
        <v>720</v>
      </c>
      <c r="N759" s="43" t="s">
        <v>23</v>
      </c>
      <c r="O759" s="43" t="s">
        <v>802</v>
      </c>
    </row>
    <row r="760" spans="1:15" ht="27" customHeight="1">
      <c r="A760" s="5">
        <v>41658</v>
      </c>
      <c r="B760" s="18" t="s">
        <v>15</v>
      </c>
      <c r="C760" s="34" t="s">
        <v>16</v>
      </c>
      <c r="D760" s="7" t="s">
        <v>931</v>
      </c>
      <c r="E760" s="67" t="s">
        <v>932</v>
      </c>
      <c r="F760" s="85" t="str">
        <f>HYPERLINK("https://drive.google.com/file/d/1zm8by7qbN-lhjYu-74BzkqkxCvgoj_bD/view?usp=drivesdk","https://drive.google.com/file/d/1zm8by7qbN-lhjYu-74BzkqkxCvgoj_bD/view?usp=drivesdk")</f>
        <v>https://drive.google.com/file/d/1zm8by7qbN-lhjYu-74BzkqkxCvgoj_bD/view?usp=drivesdk</v>
      </c>
      <c r="G760" s="7" t="s">
        <v>3349</v>
      </c>
      <c r="H760" s="95" t="s">
        <v>3208</v>
      </c>
      <c r="I760" s="10"/>
      <c r="J760" s="8">
        <v>45</v>
      </c>
      <c r="K760" s="8">
        <v>272</v>
      </c>
      <c r="L760" s="54">
        <v>0.28680555555555548</v>
      </c>
      <c r="M760" s="39" t="s">
        <v>102</v>
      </c>
      <c r="N760" s="43" t="s">
        <v>194</v>
      </c>
      <c r="O760" s="43" t="s">
        <v>195</v>
      </c>
    </row>
    <row r="761" spans="1:15" ht="13.5">
      <c r="A761" s="5">
        <v>41657</v>
      </c>
      <c r="B761" s="18" t="s">
        <v>15</v>
      </c>
      <c r="C761" s="16" t="s">
        <v>223</v>
      </c>
      <c r="D761" s="7" t="s">
        <v>730</v>
      </c>
      <c r="E761" s="67" t="s">
        <v>929</v>
      </c>
      <c r="F761" s="85" t="str">
        <f>HYPERLINK("https://drive.google.com/file/d/1VnC8DLXk5tVGqvo2py0eTK-QIUZjcJSu/view?usp=drivesdk","https://drive.google.com/file/d/1VnC8DLXk5tVGqvo2py0eTK-QIUZjcJSu/view?usp=drivesdk")</f>
        <v>https://drive.google.com/file/d/1VnC8DLXk5tVGqvo2py0eTK-QIUZjcJSu/view?usp=drivesdk</v>
      </c>
      <c r="G761" s="7" t="s">
        <v>930</v>
      </c>
      <c r="H761" s="95" t="s">
        <v>3209</v>
      </c>
      <c r="I761" s="16"/>
      <c r="J761" s="8">
        <v>30</v>
      </c>
      <c r="K761" s="8">
        <v>347</v>
      </c>
      <c r="L761" s="54">
        <v>0.14097222222222219</v>
      </c>
      <c r="M761" s="39" t="s">
        <v>720</v>
      </c>
      <c r="N761" s="43" t="s">
        <v>23</v>
      </c>
      <c r="O761" s="43" t="s">
        <v>802</v>
      </c>
    </row>
    <row r="762" spans="1:15" ht="40.5" customHeight="1">
      <c r="A762" s="5">
        <v>41652</v>
      </c>
      <c r="B762" s="18" t="s">
        <v>15</v>
      </c>
      <c r="C762" s="34" t="s">
        <v>16</v>
      </c>
      <c r="D762" s="7" t="s">
        <v>926</v>
      </c>
      <c r="E762" s="67" t="s">
        <v>927</v>
      </c>
      <c r="F762" s="85" t="str">
        <f>HYPERLINK("https://drive.google.com/file/d/1mIqnjrPdHA2rfXK_J13uAoXpoiwGYBEW/view?usp=drivesdk","https://drive.google.com/file/d/1mIqnjrPdHA2rfXK_J13uAoXpoiwGYBEW/view?usp=drivesdk")</f>
        <v>https://drive.google.com/file/d/1mIqnjrPdHA2rfXK_J13uAoXpoiwGYBEW/view?usp=drivesdk</v>
      </c>
      <c r="G762" s="7" t="s">
        <v>928</v>
      </c>
      <c r="H762" s="95" t="s">
        <v>3265</v>
      </c>
      <c r="I762" s="23"/>
      <c r="J762" s="8">
        <v>17</v>
      </c>
      <c r="K762" s="8"/>
      <c r="L762" s="11">
        <v>0.35555555555555562</v>
      </c>
      <c r="M762" s="39" t="s">
        <v>330</v>
      </c>
      <c r="N762" s="43" t="s">
        <v>331</v>
      </c>
      <c r="O762" s="43" t="s">
        <v>332</v>
      </c>
    </row>
    <row r="763" spans="1:15" ht="14.25" customHeight="1">
      <c r="A763" s="5">
        <v>41651</v>
      </c>
      <c r="B763" s="18" t="s">
        <v>15</v>
      </c>
      <c r="C763" s="34" t="s">
        <v>16</v>
      </c>
      <c r="D763" s="7" t="s">
        <v>923</v>
      </c>
      <c r="E763" s="67" t="s">
        <v>924</v>
      </c>
      <c r="F763" s="85" t="str">
        <f>HYPERLINK("https://drive.google.com/file/d/1Plq1lSXACzfD_vyT77JI23t-5rZ_1ShC/view?usp=drivesdk","https://drive.google.com/file/d/1Plq1lSXACzfD_vyT77JI23t-5rZ_1ShC/view?usp=drivesdk")</f>
        <v>https://drive.google.com/file/d/1Plq1lSXACzfD_vyT77JI23t-5rZ_1ShC/view?usp=drivesdk</v>
      </c>
      <c r="G763" s="7" t="s">
        <v>925</v>
      </c>
      <c r="H763" s="95" t="s">
        <v>3265</v>
      </c>
      <c r="I763" s="23"/>
      <c r="J763" s="8">
        <v>34</v>
      </c>
      <c r="K763" s="8"/>
      <c r="L763" s="11">
        <v>0.28749999999999998</v>
      </c>
      <c r="M763" s="39" t="s">
        <v>330</v>
      </c>
      <c r="N763" s="43" t="s">
        <v>331</v>
      </c>
      <c r="O763" s="43" t="s">
        <v>332</v>
      </c>
    </row>
    <row r="764" spans="1:15" ht="81" customHeight="1">
      <c r="A764" s="5">
        <v>41644</v>
      </c>
      <c r="B764" s="18" t="s">
        <v>15</v>
      </c>
      <c r="C764" s="16" t="s">
        <v>223</v>
      </c>
      <c r="D764" s="7" t="s">
        <v>920</v>
      </c>
      <c r="E764" s="67" t="s">
        <v>921</v>
      </c>
      <c r="F764" s="85" t="str">
        <f>HYPERLINK("https://drive.google.com/file/d/17rz-PaL_3aHulfje6_Ufmvc5p7Y7vpkD/view?usp=drivesdk","https://drive.google.com/file/d/17rz-PaL_3aHulfje6_Ufmvc5p7Y7vpkD/view?usp=drivesdk")</f>
        <v>https://drive.google.com/file/d/17rz-PaL_3aHulfje6_Ufmvc5p7Y7vpkD/view?usp=drivesdk</v>
      </c>
      <c r="G764" s="7" t="s">
        <v>922</v>
      </c>
      <c r="H764" s="95" t="s">
        <v>3209</v>
      </c>
      <c r="I764" s="16"/>
      <c r="J764" s="8">
        <v>72</v>
      </c>
      <c r="K764" s="8">
        <v>227</v>
      </c>
      <c r="L764" s="54">
        <v>6.6666666666666666E-2</v>
      </c>
      <c r="M764" s="39" t="s">
        <v>19</v>
      </c>
      <c r="N764" s="43" t="s">
        <v>294</v>
      </c>
      <c r="O764" s="43" t="s">
        <v>295</v>
      </c>
    </row>
    <row r="765" spans="1:15" ht="27" customHeight="1">
      <c r="A765" s="5">
        <v>41639</v>
      </c>
      <c r="B765" s="18" t="s">
        <v>15</v>
      </c>
      <c r="C765" s="16" t="s">
        <v>223</v>
      </c>
      <c r="D765" s="7" t="s">
        <v>730</v>
      </c>
      <c r="E765" s="67" t="s">
        <v>919</v>
      </c>
      <c r="F765" s="85" t="str">
        <f>HYPERLINK("https://drive.google.com/file/d/160lqtnkV4Tkki6oTI5OAHDu7UmsjIGHN/view?usp=drivesdk","https://drive.google.com/file/d/160lqtnkV4Tkki6oTI5OAHDu7UmsjIGHN/view?usp=drivesdk")</f>
        <v>https://drive.google.com/file/d/160lqtnkV4Tkki6oTI5OAHDu7UmsjIGHN/view?usp=drivesdk</v>
      </c>
      <c r="G765" s="7" t="s">
        <v>727</v>
      </c>
      <c r="H765" s="95" t="s">
        <v>3209</v>
      </c>
      <c r="I765" s="40"/>
      <c r="J765" s="41">
        <v>32</v>
      </c>
      <c r="K765" s="41">
        <v>272</v>
      </c>
      <c r="L765" s="54">
        <v>8.6805555555555552E-2</v>
      </c>
      <c r="M765" s="39" t="s">
        <v>720</v>
      </c>
      <c r="N765" s="43" t="s">
        <v>23</v>
      </c>
      <c r="O765" s="43" t="s">
        <v>802</v>
      </c>
    </row>
    <row r="766" spans="1:15" ht="40.5" customHeight="1">
      <c r="A766" s="5">
        <v>41636</v>
      </c>
      <c r="B766" s="18" t="s">
        <v>15</v>
      </c>
      <c r="C766" s="34" t="s">
        <v>16</v>
      </c>
      <c r="D766" s="21" t="s">
        <v>32</v>
      </c>
      <c r="E766" s="67" t="s">
        <v>917</v>
      </c>
      <c r="F766" s="85" t="str">
        <f>HYPERLINK("https://drive.google.com/file/d/10pjoulsoOACcilTG9puGWqJP15bREVwB/view?usp=drivesdk","https://drive.google.com/file/d/10pjoulsoOACcilTG9puGWqJP15bREVwB/view?usp=drivesdk")</f>
        <v>https://drive.google.com/file/d/10pjoulsoOACcilTG9puGWqJP15bREVwB/view?usp=drivesdk</v>
      </c>
      <c r="G766" s="21" t="s">
        <v>918</v>
      </c>
      <c r="H766" s="73" t="s">
        <v>222</v>
      </c>
      <c r="I766" s="40"/>
      <c r="J766" s="41">
        <v>27</v>
      </c>
      <c r="K766" s="41">
        <v>270</v>
      </c>
      <c r="L766" s="54">
        <v>0.32013888888888892</v>
      </c>
      <c r="M766" s="39" t="s">
        <v>102</v>
      </c>
      <c r="N766" s="43" t="s">
        <v>194</v>
      </c>
      <c r="O766" s="43" t="s">
        <v>195</v>
      </c>
    </row>
    <row r="767" spans="1:15">
      <c r="A767" s="5">
        <v>41631</v>
      </c>
      <c r="B767" s="18" t="s">
        <v>15</v>
      </c>
      <c r="C767" s="34" t="s">
        <v>16</v>
      </c>
      <c r="D767" s="21" t="s">
        <v>32</v>
      </c>
      <c r="E767" s="68" t="s">
        <v>915</v>
      </c>
      <c r="F767" s="85" t="str">
        <f>HYPERLINK("https://drive.google.com/file/d/1brUHGvkiceIAP22Ecqu_p6hU8h7fdLBr/view?usp=drivesdk","https://drive.google.com/file/d/1brUHGvkiceIAP22Ecqu_p6hU8h7fdLBr/view?usp=drivesdk")</f>
        <v>https://drive.google.com/file/d/1brUHGvkiceIAP22Ecqu_p6hU8h7fdLBr/view?usp=drivesdk</v>
      </c>
      <c r="G767" s="21" t="s">
        <v>916</v>
      </c>
      <c r="H767" s="73" t="s">
        <v>222</v>
      </c>
      <c r="I767" s="40"/>
      <c r="J767" s="41">
        <v>24</v>
      </c>
      <c r="K767" s="41">
        <v>174</v>
      </c>
      <c r="L767" s="54">
        <v>0.27777777777777779</v>
      </c>
      <c r="M767" s="39" t="s">
        <v>102</v>
      </c>
      <c r="N767" s="43" t="s">
        <v>194</v>
      </c>
      <c r="O767" s="43" t="s">
        <v>195</v>
      </c>
    </row>
    <row r="768" spans="1:15" ht="40.5" customHeight="1">
      <c r="A768" s="5">
        <v>41615</v>
      </c>
      <c r="B768" s="18" t="s">
        <v>15</v>
      </c>
      <c r="C768" s="34" t="s">
        <v>16</v>
      </c>
      <c r="D768" s="21" t="s">
        <v>913</v>
      </c>
      <c r="E768" s="67" t="s">
        <v>914</v>
      </c>
      <c r="F768" s="85" t="str">
        <f>HYPERLINK("https://drive.google.com/file/d/1nDA-QXTy6HxUGmLBy4A2EZN7z9n4kD2l/view?usp=drivesdk","https://drive.google.com/file/d/1nDA-QXTy6HxUGmLBy4A2EZN7z9n4kD2l/view?usp=drivesdk")</f>
        <v>https://drive.google.com/file/d/1nDA-QXTy6HxUGmLBy4A2EZN7z9n4kD2l/view?usp=drivesdk</v>
      </c>
      <c r="G768" s="21" t="s">
        <v>913</v>
      </c>
      <c r="H768" s="95" t="s">
        <v>3344</v>
      </c>
      <c r="I768" s="40"/>
      <c r="J768" s="41">
        <v>57</v>
      </c>
      <c r="K768" s="41">
        <v>697</v>
      </c>
      <c r="L768" s="54">
        <v>0.41249999999999998</v>
      </c>
      <c r="M768" s="39" t="s">
        <v>22</v>
      </c>
      <c r="N768" s="43" t="s">
        <v>675</v>
      </c>
      <c r="O768" s="43" t="s">
        <v>879</v>
      </c>
    </row>
    <row r="769" spans="1:15" ht="27" customHeight="1">
      <c r="A769" s="5">
        <v>41609</v>
      </c>
      <c r="B769" s="18" t="s">
        <v>15</v>
      </c>
      <c r="C769" s="16" t="s">
        <v>223</v>
      </c>
      <c r="D769" s="7" t="s">
        <v>911</v>
      </c>
      <c r="E769" s="67" t="s">
        <v>912</v>
      </c>
      <c r="F769" s="85" t="str">
        <f>HYPERLINK("https://drive.google.com/file/d/1HWh-YPWZlrT6hVlLNaMSjWb6x73Y36Ss/view?usp=drivesdk","https://drive.google.com/file/d/1HWh-YPWZlrT6hVlLNaMSjWb6x73Y36Ss/view?usp=drivesdk")</f>
        <v>https://drive.google.com/file/d/1HWh-YPWZlrT6hVlLNaMSjWb6x73Y36Ss/view?usp=drivesdk</v>
      </c>
      <c r="G769" s="7" t="s">
        <v>911</v>
      </c>
      <c r="H769" s="73" t="s">
        <v>222</v>
      </c>
      <c r="I769" s="15" t="s">
        <v>404</v>
      </c>
      <c r="J769" s="8">
        <v>58</v>
      </c>
      <c r="K769" s="8">
        <v>736</v>
      </c>
      <c r="L769" s="11">
        <v>0.25694444444444442</v>
      </c>
      <c r="M769" s="39" t="s">
        <v>720</v>
      </c>
      <c r="N769" s="43" t="s">
        <v>23</v>
      </c>
      <c r="O769" s="43" t="s">
        <v>802</v>
      </c>
    </row>
    <row r="770" spans="1:15" ht="27">
      <c r="A770" s="5">
        <v>41595</v>
      </c>
      <c r="B770" s="18" t="s">
        <v>15</v>
      </c>
      <c r="C770" s="34" t="s">
        <v>16</v>
      </c>
      <c r="D770" s="7" t="s">
        <v>908</v>
      </c>
      <c r="E770" s="68" t="s">
        <v>909</v>
      </c>
      <c r="F770" s="85" t="str">
        <f>HYPERLINK("https://drive.google.com/file/d/1cfajqAK6Mv7urQnMP7CgHSnJoQ7SWTX1/view?usp=drivesdk","https://drive.google.com/file/d/1cfajqAK6Mv7urQnMP7CgHSnJoQ7SWTX1/view?usp=drivesdk")</f>
        <v>https://drive.google.com/file/d/1cfajqAK6Mv7urQnMP7CgHSnJoQ7SWTX1/view?usp=drivesdk</v>
      </c>
      <c r="G770" s="7" t="s">
        <v>910</v>
      </c>
      <c r="H770" s="73" t="s">
        <v>222</v>
      </c>
      <c r="I770" s="15" t="s">
        <v>404</v>
      </c>
      <c r="J770" s="8">
        <v>78</v>
      </c>
      <c r="K770" s="8">
        <v>436</v>
      </c>
      <c r="L770" s="11">
        <v>0.30833333333333329</v>
      </c>
      <c r="M770" s="39" t="s">
        <v>22</v>
      </c>
      <c r="N770" s="43" t="s">
        <v>675</v>
      </c>
      <c r="O770" s="43" t="s">
        <v>879</v>
      </c>
    </row>
    <row r="771" spans="1:15" ht="27" customHeight="1">
      <c r="A771" s="5">
        <v>41588</v>
      </c>
      <c r="B771" s="18" t="s">
        <v>15</v>
      </c>
      <c r="C771" s="34" t="s">
        <v>16</v>
      </c>
      <c r="D771" s="7" t="s">
        <v>905</v>
      </c>
      <c r="E771" s="67" t="s">
        <v>906</v>
      </c>
      <c r="F771" s="85" t="str">
        <f>HYPERLINK("https://drive.google.com/file/d/15NSRUnw9UWrGMdWm_s4RfY2encKYqxOT/view?usp=drivesdk","https://drive.google.com/file/d/15NSRUnw9UWrGMdWm_s4RfY2encKYqxOT/view?usp=drivesdk")</f>
        <v>https://drive.google.com/file/d/15NSRUnw9UWrGMdWm_s4RfY2encKYqxOT/view?usp=drivesdk</v>
      </c>
      <c r="G771" s="7" t="s">
        <v>907</v>
      </c>
      <c r="H771" s="73" t="s">
        <v>222</v>
      </c>
      <c r="I771" s="15" t="s">
        <v>404</v>
      </c>
      <c r="J771" s="8">
        <v>35</v>
      </c>
      <c r="K771" s="8">
        <v>140</v>
      </c>
      <c r="L771" s="54">
        <v>0.17986111111111111</v>
      </c>
      <c r="M771" s="39" t="s">
        <v>102</v>
      </c>
      <c r="N771" s="43" t="s">
        <v>194</v>
      </c>
      <c r="O771" s="43" t="s">
        <v>195</v>
      </c>
    </row>
    <row r="772" spans="1:15" ht="27" customHeight="1">
      <c r="A772" s="5">
        <v>41587</v>
      </c>
      <c r="B772" s="18" t="s">
        <v>15</v>
      </c>
      <c r="C772" s="23" t="s">
        <v>223</v>
      </c>
      <c r="D772" s="7" t="s">
        <v>680</v>
      </c>
      <c r="E772" s="67" t="s">
        <v>903</v>
      </c>
      <c r="F772" s="85" t="str">
        <f>HYPERLINK("https://drive.google.com/file/d/1Rh7kE04ccs_owk6ZveGglTuaWYgR2Le6/view?usp=drivesdk","https://drive.google.com/file/d/1Rh7kE04ccs_owk6ZveGglTuaWYgR2Le6/view?usp=drivesdk")</f>
        <v>https://drive.google.com/file/d/1Rh7kE04ccs_owk6ZveGglTuaWYgR2Le6/view?usp=drivesdk</v>
      </c>
      <c r="G772" s="7" t="s">
        <v>904</v>
      </c>
      <c r="H772" s="95" t="s">
        <v>3203</v>
      </c>
      <c r="I772" s="15" t="s">
        <v>404</v>
      </c>
      <c r="J772" s="8">
        <v>35</v>
      </c>
      <c r="K772" s="8">
        <v>900</v>
      </c>
      <c r="L772" s="54">
        <v>0.15625</v>
      </c>
      <c r="M772" s="39" t="s">
        <v>22</v>
      </c>
      <c r="N772" s="43" t="s">
        <v>675</v>
      </c>
      <c r="O772" s="43" t="s">
        <v>879</v>
      </c>
    </row>
    <row r="773" spans="1:15" ht="27" customHeight="1">
      <c r="A773" s="5">
        <v>41582</v>
      </c>
      <c r="B773" s="18" t="s">
        <v>15</v>
      </c>
      <c r="C773" s="34" t="s">
        <v>16</v>
      </c>
      <c r="D773" s="7" t="s">
        <v>32</v>
      </c>
      <c r="E773" s="67"/>
      <c r="G773" s="7" t="s">
        <v>902</v>
      </c>
      <c r="H773" s="73" t="s">
        <v>222</v>
      </c>
      <c r="I773" s="15" t="s">
        <v>404</v>
      </c>
      <c r="J773" s="8">
        <v>20</v>
      </c>
      <c r="K773" s="8">
        <v>1235</v>
      </c>
      <c r="L773" s="11"/>
      <c r="M773" s="39" t="s">
        <v>330</v>
      </c>
      <c r="N773" s="43" t="s">
        <v>331</v>
      </c>
      <c r="O773" s="43" t="s">
        <v>332</v>
      </c>
    </row>
    <row r="774" spans="1:15" ht="27" customHeight="1">
      <c r="A774" s="5">
        <v>41581</v>
      </c>
      <c r="B774" s="18" t="s">
        <v>15</v>
      </c>
      <c r="C774" s="23" t="s">
        <v>223</v>
      </c>
      <c r="D774" s="7" t="s">
        <v>899</v>
      </c>
      <c r="E774" s="67" t="s">
        <v>900</v>
      </c>
      <c r="F774" s="85" t="str">
        <f>HYPERLINK("https://drive.google.com/file/d/1INzooLm72CPMHx6kV2pOeMewGQF6rAxn/view?usp=drivesdk","https://drive.google.com/file/d/1INzooLm72CPMHx6kV2pOeMewGQF6rAxn/view?usp=drivesdk")</f>
        <v>https://drive.google.com/file/d/1INzooLm72CPMHx6kV2pOeMewGQF6rAxn/view?usp=drivesdk</v>
      </c>
      <c r="G774" s="7" t="s">
        <v>901</v>
      </c>
      <c r="H774" s="95" t="s">
        <v>3224</v>
      </c>
      <c r="I774" s="10"/>
      <c r="J774" s="8">
        <v>80</v>
      </c>
      <c r="K774" s="8">
        <v>1820</v>
      </c>
      <c r="L774" s="11">
        <v>0.3215277777777778</v>
      </c>
      <c r="M774" s="39" t="s">
        <v>720</v>
      </c>
      <c r="N774" s="43" t="s">
        <v>23</v>
      </c>
      <c r="O774" s="43" t="s">
        <v>802</v>
      </c>
    </row>
    <row r="775" spans="1:15" ht="27" customHeight="1">
      <c r="A775" s="5">
        <v>41574</v>
      </c>
      <c r="B775" s="18" t="s">
        <v>15</v>
      </c>
      <c r="C775" s="34" t="s">
        <v>16</v>
      </c>
      <c r="D775" s="7" t="s">
        <v>896</v>
      </c>
      <c r="E775" s="67" t="s">
        <v>897</v>
      </c>
      <c r="F775" s="85" t="str">
        <f>HYPERLINK("https://drive.google.com/file/d/1G6S4Pal5BHdvvxahTHSLLVleZQASwBL0/view?usp=drivesdk","https://drive.google.com/file/d/1G6S4Pal5BHdvvxahTHSLLVleZQASwBL0/view?usp=drivesdk")</f>
        <v>https://drive.google.com/file/d/1G6S4Pal5BHdvvxahTHSLLVleZQASwBL0/view?usp=drivesdk</v>
      </c>
      <c r="G775" s="7" t="s">
        <v>898</v>
      </c>
      <c r="H775" s="95" t="s">
        <v>3202</v>
      </c>
      <c r="I775" s="15" t="s">
        <v>404</v>
      </c>
      <c r="J775" s="8">
        <v>25</v>
      </c>
      <c r="K775" s="8">
        <v>700</v>
      </c>
      <c r="L775" s="54">
        <v>0.21180555555555561</v>
      </c>
      <c r="M775" s="39" t="s">
        <v>22</v>
      </c>
      <c r="N775" s="43" t="s">
        <v>675</v>
      </c>
      <c r="O775" s="43" t="s">
        <v>879</v>
      </c>
    </row>
    <row r="776" spans="1:15" ht="27" customHeight="1">
      <c r="A776" s="5">
        <v>41568</v>
      </c>
      <c r="B776" s="18" t="s">
        <v>15</v>
      </c>
      <c r="C776" s="34" t="s">
        <v>16</v>
      </c>
      <c r="D776" s="7" t="s">
        <v>893</v>
      </c>
      <c r="E776" s="67" t="s">
        <v>894</v>
      </c>
      <c r="F776" s="85" t="str">
        <f>HYPERLINK("https://drive.google.com/file/d/1HtXHJ4KAXT_-sDVDrS2d7jOc052znVts/view?usp=drivesdk","https://drive.google.com/file/d/1HtXHJ4KAXT_-sDVDrS2d7jOc052znVts/view?usp=drivesdk")</f>
        <v>https://drive.google.com/file/d/1HtXHJ4KAXT_-sDVDrS2d7jOc052znVts/view?usp=drivesdk</v>
      </c>
      <c r="G776" s="7" t="s">
        <v>895</v>
      </c>
      <c r="H776" s="95" t="s">
        <v>3196</v>
      </c>
      <c r="I776" s="15" t="s">
        <v>404</v>
      </c>
      <c r="J776" s="8">
        <v>30</v>
      </c>
      <c r="K776" s="8">
        <v>600</v>
      </c>
      <c r="L776" s="54">
        <v>0.16319444444444439</v>
      </c>
      <c r="M776" s="39" t="s">
        <v>22</v>
      </c>
      <c r="N776" s="43" t="s">
        <v>675</v>
      </c>
      <c r="O776" s="43" t="s">
        <v>879</v>
      </c>
    </row>
    <row r="777" spans="1:15">
      <c r="A777" s="5">
        <v>41561</v>
      </c>
      <c r="B777" s="18" t="s">
        <v>15</v>
      </c>
      <c r="C777" s="23" t="s">
        <v>16</v>
      </c>
      <c r="D777" s="7" t="s">
        <v>890</v>
      </c>
      <c r="E777" s="67" t="s">
        <v>891</v>
      </c>
      <c r="F777" s="85" t="str">
        <f>HYPERLINK("https://drive.google.com/file/d/1YOd4Civbqln-b5znMAkKMmSIqGEUkas_/view?usp=drivesdk","https://drive.google.com/file/d/1YOd4Civbqln-b5znMAkKMmSIqGEUkas_/view?usp=drivesdk")</f>
        <v>https://drive.google.com/file/d/1YOd4Civbqln-b5znMAkKMmSIqGEUkas_/view?usp=drivesdk</v>
      </c>
      <c r="G777" s="7" t="s">
        <v>892</v>
      </c>
      <c r="H777" s="95" t="s">
        <v>3350</v>
      </c>
      <c r="I777" s="10"/>
      <c r="J777" s="8">
        <v>132</v>
      </c>
      <c r="K777" s="8">
        <v>604</v>
      </c>
      <c r="L777" s="11">
        <v>0.35833333333333328</v>
      </c>
      <c r="M777" s="39" t="s">
        <v>22</v>
      </c>
      <c r="N777" s="43" t="s">
        <v>675</v>
      </c>
      <c r="O777" s="43" t="s">
        <v>879</v>
      </c>
    </row>
    <row r="778" spans="1:15" ht="27">
      <c r="A778" s="5">
        <v>41559</v>
      </c>
      <c r="B778" s="18" t="s">
        <v>15</v>
      </c>
      <c r="C778" s="23" t="s">
        <v>223</v>
      </c>
      <c r="D778" s="7" t="s">
        <v>887</v>
      </c>
      <c r="E778" s="67" t="s">
        <v>888</v>
      </c>
      <c r="F778" s="85" t="str">
        <f>HYPERLINK("https://drive.google.com/file/d/18gZ_7QdToUOZjcpQ-q_mcTEL_llCjuOD/view?usp=drivesdk","https://drive.google.com/file/d/18gZ_7QdToUOZjcpQ-q_mcTEL_llCjuOD/view?usp=drivesdk")</f>
        <v>https://drive.google.com/file/d/18gZ_7QdToUOZjcpQ-q_mcTEL_llCjuOD/view?usp=drivesdk</v>
      </c>
      <c r="G778" s="7" t="s">
        <v>889</v>
      </c>
      <c r="H778" s="95" t="s">
        <v>3225</v>
      </c>
      <c r="I778" s="23" t="s">
        <v>831</v>
      </c>
      <c r="J778" s="8">
        <v>92</v>
      </c>
      <c r="K778" s="8">
        <v>1900</v>
      </c>
      <c r="L778" s="54">
        <v>0.28888888888888892</v>
      </c>
      <c r="M778" s="39" t="s">
        <v>720</v>
      </c>
      <c r="N778" s="43" t="s">
        <v>23</v>
      </c>
      <c r="O778" s="43" t="s">
        <v>802</v>
      </c>
    </row>
    <row r="779" spans="1:15" ht="27" customHeight="1">
      <c r="A779" s="5">
        <v>41553</v>
      </c>
      <c r="B779" s="18" t="s">
        <v>15</v>
      </c>
      <c r="C779" s="7" t="s">
        <v>151</v>
      </c>
      <c r="D779" s="21" t="s">
        <v>885</v>
      </c>
      <c r="E779" s="67" t="s">
        <v>886</v>
      </c>
      <c r="F779" s="85" t="str">
        <f>HYPERLINK("https://drive.google.com/file/d/12fEgP06KDIzjwwt6aiP9TjutjO7sEjHL/view?usp=drivesdk","https://drive.google.com/file/d/12fEgP06KDIzjwwt6aiP9TjutjO7sEjHL/view?usp=drivesdk")</f>
        <v>https://drive.google.com/file/d/12fEgP06KDIzjwwt6aiP9TjutjO7sEjHL/view?usp=drivesdk</v>
      </c>
      <c r="G779" s="21"/>
      <c r="H779" s="73" t="s">
        <v>3203</v>
      </c>
      <c r="I779" s="40"/>
      <c r="J779" s="41">
        <v>107</v>
      </c>
      <c r="K779" s="41">
        <v>1977</v>
      </c>
      <c r="L779" s="46">
        <v>0.36666666666666659</v>
      </c>
      <c r="M779" s="39" t="s">
        <v>22</v>
      </c>
      <c r="N779" s="43" t="s">
        <v>675</v>
      </c>
      <c r="O779" s="43" t="s">
        <v>879</v>
      </c>
    </row>
    <row r="780" spans="1:15" ht="27">
      <c r="A780" s="5">
        <v>41546</v>
      </c>
      <c r="B780" s="18" t="s">
        <v>15</v>
      </c>
      <c r="C780" s="23" t="s">
        <v>16</v>
      </c>
      <c r="D780" s="7" t="s">
        <v>882</v>
      </c>
      <c r="E780" s="67" t="s">
        <v>883</v>
      </c>
      <c r="F780" s="85" t="str">
        <f>HYPERLINK("https://drive.google.com/file/d/1sWGc_MWFecsyoyFTmGBOMKLdEj2iHXKf/view?usp=drivesdk","https://drive.google.com/file/d/1sWGc_MWFecsyoyFTmGBOMKLdEj2iHXKf/view?usp=drivesdk")</f>
        <v>https://drive.google.com/file/d/1sWGc_MWFecsyoyFTmGBOMKLdEj2iHXKf/view?usp=drivesdk</v>
      </c>
      <c r="G780" s="7" t="s">
        <v>884</v>
      </c>
      <c r="H780" s="95" t="s">
        <v>3264</v>
      </c>
      <c r="I780" s="10"/>
      <c r="J780" s="8">
        <v>180</v>
      </c>
      <c r="K780" s="8">
        <v>3046</v>
      </c>
      <c r="L780" s="54">
        <v>0.46527777777777779</v>
      </c>
      <c r="M780" s="39" t="s">
        <v>22</v>
      </c>
      <c r="N780" s="43" t="s">
        <v>675</v>
      </c>
      <c r="O780" s="43" t="s">
        <v>879</v>
      </c>
    </row>
    <row r="781" spans="1:15" ht="40.5" customHeight="1">
      <c r="A781" s="5">
        <v>41545</v>
      </c>
      <c r="B781" s="18" t="s">
        <v>15</v>
      </c>
      <c r="C781" s="23" t="s">
        <v>16</v>
      </c>
      <c r="D781" s="21" t="s">
        <v>880</v>
      </c>
      <c r="E781" s="67" t="s">
        <v>881</v>
      </c>
      <c r="F781" s="85" t="str">
        <f>HYPERLINK("https://drive.google.com/file/d/1Ys-CpU4_Czfv8M3m1bIMZaIENj1BeSsr/view?usp=drivesdk","https://drive.google.com/file/d/1Ys-CpU4_Czfv8M3m1bIMZaIENj1BeSsr/view?usp=drivesdk")</f>
        <v>https://drive.google.com/file/d/1Ys-CpU4_Czfv8M3m1bIMZaIENj1BeSsr/view?usp=drivesdk</v>
      </c>
      <c r="G781" s="21" t="s">
        <v>880</v>
      </c>
      <c r="H781" s="95" t="s">
        <v>3264</v>
      </c>
      <c r="I781" s="40"/>
      <c r="J781" s="41">
        <v>78</v>
      </c>
      <c r="K781" s="41">
        <v>587</v>
      </c>
      <c r="L781" s="54">
        <v>0.29166666666666669</v>
      </c>
      <c r="M781" s="39" t="s">
        <v>22</v>
      </c>
      <c r="N781" s="43" t="s">
        <v>675</v>
      </c>
      <c r="O781" s="43" t="s">
        <v>879</v>
      </c>
    </row>
    <row r="782" spans="1:15" ht="40.5" customHeight="1">
      <c r="A782" s="5">
        <v>41540</v>
      </c>
      <c r="B782" s="18" t="s">
        <v>15</v>
      </c>
      <c r="C782" s="23" t="s">
        <v>16</v>
      </c>
      <c r="D782" s="7" t="s">
        <v>877</v>
      </c>
      <c r="E782" s="67" t="s">
        <v>878</v>
      </c>
      <c r="F782" s="85" t="str">
        <f>HYPERLINK("https://drive.google.com/file/d/1Y0AVmzj-1b8L5jg5htTTH7z3aL4nbLE5/view?usp=drivesdk","https://drive.google.com/file/d/1Y0AVmzj-1b8L5jg5htTTH7z3aL4nbLE5/view?usp=drivesdk")</f>
        <v>https://drive.google.com/file/d/1Y0AVmzj-1b8L5jg5htTTH7z3aL4nbLE5/view?usp=drivesdk</v>
      </c>
      <c r="G782" s="7" t="s">
        <v>3251</v>
      </c>
      <c r="H782" s="95" t="s">
        <v>3347</v>
      </c>
      <c r="I782" s="10"/>
      <c r="J782" s="8">
        <v>210</v>
      </c>
      <c r="K782" s="8">
        <v>1500</v>
      </c>
      <c r="L782" s="54">
        <v>0.56111111111111112</v>
      </c>
      <c r="M782" s="39" t="s">
        <v>22</v>
      </c>
      <c r="N782" s="43" t="s">
        <v>675</v>
      </c>
      <c r="O782" s="43" t="s">
        <v>879</v>
      </c>
    </row>
    <row r="783" spans="1:15" ht="27" customHeight="1">
      <c r="A783" s="5">
        <v>41539</v>
      </c>
      <c r="B783" s="18" t="s">
        <v>15</v>
      </c>
      <c r="C783" s="34" t="s">
        <v>16</v>
      </c>
      <c r="D783" s="7" t="s">
        <v>874</v>
      </c>
      <c r="E783" s="67" t="s">
        <v>875</v>
      </c>
      <c r="F783" s="85" t="str">
        <f>HYPERLINK("https://drive.google.com/file/d/18e75ypyHBgLoURURAbfR5ttkN7g0xgm6/view?usp=drivesdk","https://drive.google.com/file/d/18e75ypyHBgLoURURAbfR5ttkN7g0xgm6/view?usp=drivesdk")</f>
        <v>https://drive.google.com/file/d/18e75ypyHBgLoURURAbfR5ttkN7g0xgm6/view?usp=drivesdk</v>
      </c>
      <c r="G783" s="7" t="s">
        <v>876</v>
      </c>
      <c r="H783" s="95" t="s">
        <v>3208</v>
      </c>
      <c r="I783" s="10"/>
      <c r="J783" s="8">
        <v>25</v>
      </c>
      <c r="K783" s="8"/>
      <c r="L783" s="11">
        <v>0.14027777777777781</v>
      </c>
      <c r="M783" s="39" t="s">
        <v>330</v>
      </c>
      <c r="N783" s="43" t="s">
        <v>331</v>
      </c>
      <c r="O783" s="43" t="s">
        <v>332</v>
      </c>
    </row>
    <row r="784" spans="1:15" ht="14.25" customHeight="1">
      <c r="A784" s="5">
        <v>41538</v>
      </c>
      <c r="B784" s="18" t="s">
        <v>15</v>
      </c>
      <c r="C784" s="34" t="s">
        <v>16</v>
      </c>
      <c r="D784" s="21" t="s">
        <v>871</v>
      </c>
      <c r="E784" s="68" t="s">
        <v>872</v>
      </c>
      <c r="F784" s="85" t="str">
        <f>HYPERLINK("https://drive.google.com/file/d/11WNsOfgSn4wV_LO-EM9UM3QU47zUBLs_/view?usp=drivesdk","https://drive.google.com/file/d/11WNsOfgSn4wV_LO-EM9UM3QU47zUBLs_/view?usp=drivesdk")</f>
        <v>https://drive.google.com/file/d/11WNsOfgSn4wV_LO-EM9UM3QU47zUBLs_/view?usp=drivesdk</v>
      </c>
      <c r="G784" s="7" t="s">
        <v>873</v>
      </c>
      <c r="H784" s="95" t="s">
        <v>3250</v>
      </c>
      <c r="I784" s="40"/>
      <c r="J784" s="41">
        <v>111</v>
      </c>
      <c r="K784" s="41">
        <v>1599</v>
      </c>
      <c r="L784" s="46">
        <v>0.35416666666666669</v>
      </c>
      <c r="M784" s="49" t="s">
        <v>22</v>
      </c>
      <c r="N784" s="43" t="s">
        <v>675</v>
      </c>
      <c r="O784" s="43" t="s">
        <v>676</v>
      </c>
    </row>
    <row r="785" spans="1:15" ht="27" customHeight="1">
      <c r="A785" s="5">
        <v>41527</v>
      </c>
      <c r="B785" s="18" t="s">
        <v>15</v>
      </c>
      <c r="C785" s="23" t="s">
        <v>16</v>
      </c>
      <c r="D785" s="21" t="s">
        <v>566</v>
      </c>
      <c r="E785" s="67" t="s">
        <v>869</v>
      </c>
      <c r="F785" s="85" t="str">
        <f>HYPERLINK("https://drive.google.com/file/d/1xcELKjyqNxGf9wz6jCHRJQBbY2JUR5LX/view?usp=drivesdk","https://drive.google.com/file/d/1xcELKjyqNxGf9wz6jCHRJQBbY2JUR5LX/view?usp=drivesdk")</f>
        <v>https://drive.google.com/file/d/1xcELKjyqNxGf9wz6jCHRJQBbY2JUR5LX/view?usp=drivesdk</v>
      </c>
      <c r="G785" s="7" t="s">
        <v>870</v>
      </c>
      <c r="H785" s="95" t="s">
        <v>3193</v>
      </c>
      <c r="I785" s="40"/>
      <c r="J785" s="41">
        <v>97</v>
      </c>
      <c r="K785" s="41">
        <v>652</v>
      </c>
      <c r="L785" s="54">
        <v>0.33611111111111108</v>
      </c>
      <c r="M785" s="39" t="s">
        <v>22</v>
      </c>
      <c r="N785" s="43" t="s">
        <v>675</v>
      </c>
      <c r="O785" s="43" t="s">
        <v>676</v>
      </c>
    </row>
    <row r="786" spans="1:15" ht="54" customHeight="1">
      <c r="A786" s="5">
        <v>41518</v>
      </c>
      <c r="B786" s="18" t="s">
        <v>15</v>
      </c>
      <c r="C786" s="7" t="s">
        <v>131</v>
      </c>
      <c r="D786" s="21" t="s">
        <v>273</v>
      </c>
      <c r="E786" s="67" t="s">
        <v>868</v>
      </c>
      <c r="F786" s="85" t="str">
        <f>HYPERLINK("https://drive.google.com/file/d/1p3Lqq5nC9lRK6swKjupCFuY4UlT9kPHc/view?usp=drivesdk","https://drive.google.com/file/d/1p3Lqq5nC9lRK6swKjupCFuY4UlT9kPHc/view?usp=drivesdk")</f>
        <v>https://drive.google.com/file/d/1p3Lqq5nC9lRK6swKjupCFuY4UlT9kPHc/view?usp=drivesdk</v>
      </c>
      <c r="G786" s="21" t="s">
        <v>275</v>
      </c>
      <c r="H786" s="95" t="s">
        <v>3202</v>
      </c>
      <c r="I786" s="23" t="s">
        <v>276</v>
      </c>
      <c r="J786" s="41"/>
      <c r="K786" s="41">
        <v>871</v>
      </c>
      <c r="L786" s="46">
        <v>4.5138888888888888E-2</v>
      </c>
      <c r="M786" s="39" t="s">
        <v>22</v>
      </c>
      <c r="N786" s="43" t="s">
        <v>23</v>
      </c>
      <c r="O786" s="43" t="s">
        <v>136</v>
      </c>
    </row>
    <row r="787" spans="1:15" ht="13.5">
      <c r="A787" s="5">
        <v>41504</v>
      </c>
      <c r="B787" s="18" t="s">
        <v>15</v>
      </c>
      <c r="C787" s="23" t="s">
        <v>196</v>
      </c>
      <c r="D787" s="7" t="s">
        <v>865</v>
      </c>
      <c r="E787" s="68" t="s">
        <v>866</v>
      </c>
      <c r="F787" s="85" t="str">
        <f>HYPERLINK("https://drive.google.com/file/d/1Eoh-KNKjkjPW3SimbOOoA1xUGqhFeTdq/view?usp=drivesdk","https://drive.google.com/file/d/1Eoh-KNKjkjPW3SimbOOoA1xUGqhFeTdq/view?usp=drivesdk")</f>
        <v>https://drive.google.com/file/d/1Eoh-KNKjkjPW3SimbOOoA1xUGqhFeTdq/view?usp=drivesdk</v>
      </c>
      <c r="G787" s="7" t="s">
        <v>867</v>
      </c>
      <c r="H787" s="95" t="s">
        <v>3203</v>
      </c>
      <c r="I787" s="23"/>
      <c r="J787" s="8">
        <v>105</v>
      </c>
      <c r="K787" s="8">
        <v>1693</v>
      </c>
      <c r="L787" s="11"/>
      <c r="M787" s="39" t="s">
        <v>720</v>
      </c>
      <c r="N787" s="43" t="s">
        <v>23</v>
      </c>
      <c r="O787" s="43" t="s">
        <v>802</v>
      </c>
    </row>
    <row r="788" spans="1:15" ht="18.75">
      <c r="A788" s="5">
        <v>41501</v>
      </c>
      <c r="B788" s="18" t="s">
        <v>15</v>
      </c>
      <c r="C788" s="23" t="s">
        <v>16</v>
      </c>
      <c r="D788" s="7" t="s">
        <v>27</v>
      </c>
      <c r="E788" s="67" t="s">
        <v>863</v>
      </c>
      <c r="F788" s="85" t="str">
        <f>HYPERLINK("https://drive.google.com/file/d/1eQ68-1s5OLley_C_l2KBQXHw-iNwM5vr/view?usp=drivesdk","https://drive.google.com/file/d/1eQ68-1s5OLley_C_l2KBQXHw-iNwM5vr/view?usp=drivesdk")</f>
        <v>https://drive.google.com/file/d/1eQ68-1s5OLley_C_l2KBQXHw-iNwM5vr/view?usp=drivesdk</v>
      </c>
      <c r="G788" s="7" t="s">
        <v>3249</v>
      </c>
      <c r="H788" s="95" t="s">
        <v>3198</v>
      </c>
      <c r="I788" s="81" t="s">
        <v>29</v>
      </c>
      <c r="J788" s="41">
        <v>57</v>
      </c>
      <c r="K788" s="41">
        <v>1146</v>
      </c>
      <c r="L788" s="46">
        <v>0.2208333333333333</v>
      </c>
      <c r="M788" s="39" t="s">
        <v>22</v>
      </c>
      <c r="N788" s="48" t="s">
        <v>23</v>
      </c>
      <c r="O788" s="48" t="s">
        <v>136</v>
      </c>
    </row>
    <row r="789" spans="1:15" ht="54" customHeight="1">
      <c r="A789" s="5">
        <v>41499</v>
      </c>
      <c r="B789" s="62" t="s">
        <v>246</v>
      </c>
      <c r="C789" s="23" t="s">
        <v>196</v>
      </c>
      <c r="D789" s="7" t="s">
        <v>860</v>
      </c>
      <c r="E789" s="67" t="s">
        <v>861</v>
      </c>
      <c r="F789" s="85" t="str">
        <f>HYPERLINK("https://drive.google.com/file/d/12Rzhk-Vjxk5y_Qlokm0MrokKKhCoIWPN/view?usp=drivesdk","https://drive.google.com/file/d/12Rzhk-Vjxk5y_Qlokm0MrokKKhCoIWPN/view?usp=drivesdk")</f>
        <v>https://drive.google.com/file/d/12Rzhk-Vjxk5y_Qlokm0MrokKKhCoIWPN/view?usp=drivesdk</v>
      </c>
      <c r="G789" s="7" t="s">
        <v>862</v>
      </c>
      <c r="H789" s="95" t="s">
        <v>3203</v>
      </c>
      <c r="I789" s="23"/>
      <c r="J789" s="8">
        <v>54</v>
      </c>
      <c r="K789" s="8">
        <v>1800</v>
      </c>
      <c r="L789" s="54">
        <v>0.27013888888888887</v>
      </c>
      <c r="M789" s="39" t="s">
        <v>720</v>
      </c>
      <c r="N789" s="43" t="s">
        <v>23</v>
      </c>
      <c r="O789" s="43" t="s">
        <v>802</v>
      </c>
    </row>
    <row r="790" spans="1:15" ht="27" customHeight="1">
      <c r="A790" s="5">
        <v>41497</v>
      </c>
      <c r="B790" s="18" t="s">
        <v>15</v>
      </c>
      <c r="C790" s="23" t="s">
        <v>16</v>
      </c>
      <c r="D790" s="21" t="s">
        <v>276</v>
      </c>
      <c r="E790" s="67" t="s">
        <v>859</v>
      </c>
      <c r="F790" s="85" t="str">
        <f>HYPERLINK("https://drive.google.com/file/d/1q3Hfr-mAOqevEL1zZjWPowQQjLj1AMUb/view?usp=drivesdk","https://drive.google.com/file/d/1q3Hfr-mAOqevEL1zZjWPowQQjLj1AMUb/view?usp=drivesdk")</f>
        <v>https://drive.google.com/file/d/1q3Hfr-mAOqevEL1zZjWPowQQjLj1AMUb/view?usp=drivesdk</v>
      </c>
      <c r="G790" s="21" t="s">
        <v>383</v>
      </c>
      <c r="H790" s="73" t="s">
        <v>501</v>
      </c>
      <c r="I790" s="50" t="s">
        <v>276</v>
      </c>
      <c r="J790" s="41">
        <v>42</v>
      </c>
      <c r="K790" s="41">
        <v>1587</v>
      </c>
      <c r="L790" s="54">
        <v>0.1756944444444444</v>
      </c>
      <c r="M790" s="39" t="s">
        <v>22</v>
      </c>
      <c r="N790" s="48" t="s">
        <v>23</v>
      </c>
      <c r="O790" s="48" t="s">
        <v>136</v>
      </c>
    </row>
    <row r="791" spans="1:15" ht="40.5" customHeight="1">
      <c r="A791" s="5">
        <v>41496</v>
      </c>
      <c r="B791" s="18" t="s">
        <v>15</v>
      </c>
      <c r="C791" s="7" t="s">
        <v>151</v>
      </c>
      <c r="D791" s="7" t="s">
        <v>256</v>
      </c>
      <c r="E791" s="67" t="s">
        <v>857</v>
      </c>
      <c r="F791" s="85" t="str">
        <f>HYPERLINK("https://drive.google.com/file/d/14RQ1gsVXur4EsKYVBrMfxhkZO69vYrj8/view?usp=drivesdk","https://drive.google.com/file/d/14RQ1gsVXur4EsKYVBrMfxhkZO69vYrj8/view?usp=drivesdk")</f>
        <v>https://drive.google.com/file/d/14RQ1gsVXur4EsKYVBrMfxhkZO69vYrj8/view?usp=drivesdk</v>
      </c>
      <c r="G791" s="7" t="s">
        <v>858</v>
      </c>
      <c r="H791" s="95" t="s">
        <v>3200</v>
      </c>
      <c r="I791" s="10"/>
      <c r="J791" s="8">
        <v>27</v>
      </c>
      <c r="K791" s="8">
        <v>1040</v>
      </c>
      <c r="L791" s="54">
        <v>0.11805555555555559</v>
      </c>
      <c r="M791" s="39" t="s">
        <v>720</v>
      </c>
      <c r="N791" s="43" t="s">
        <v>23</v>
      </c>
      <c r="O791" s="43" t="s">
        <v>802</v>
      </c>
    </row>
    <row r="792" spans="1:15" ht="27">
      <c r="A792" s="5">
        <v>41490</v>
      </c>
      <c r="B792" s="62" t="s">
        <v>246</v>
      </c>
      <c r="C792" s="23" t="s">
        <v>196</v>
      </c>
      <c r="D792" s="7" t="s">
        <v>854</v>
      </c>
      <c r="E792" s="67" t="s">
        <v>855</v>
      </c>
      <c r="F792" s="85" t="str">
        <f>HYPERLINK("https://drive.google.com/file/d/12y5Sx3TZhEsvv2uzyc-fG97jX006DoD4/view?usp=drivesdk","https://drive.google.com/file/d/12y5Sx3TZhEsvv2uzyc-fG97jX006DoD4/view?usp=drivesdk")</f>
        <v>https://drive.google.com/file/d/12y5Sx3TZhEsvv2uzyc-fG97jX006DoD4/view?usp=drivesdk</v>
      </c>
      <c r="G792" s="7" t="s">
        <v>856</v>
      </c>
      <c r="H792" s="73" t="s">
        <v>3203</v>
      </c>
      <c r="I792" s="23"/>
      <c r="J792" s="8">
        <v>14</v>
      </c>
      <c r="K792" s="8">
        <v>903</v>
      </c>
      <c r="L792" s="11">
        <v>0.1875</v>
      </c>
      <c r="M792" s="39" t="s">
        <v>720</v>
      </c>
      <c r="N792" s="43" t="s">
        <v>23</v>
      </c>
      <c r="O792" s="43" t="s">
        <v>802</v>
      </c>
    </row>
    <row r="793" spans="1:15">
      <c r="A793" s="5">
        <v>41482</v>
      </c>
      <c r="B793" s="18" t="s">
        <v>15</v>
      </c>
      <c r="C793" s="34" t="s">
        <v>16</v>
      </c>
      <c r="D793" s="7" t="s">
        <v>851</v>
      </c>
      <c r="E793" s="67" t="s">
        <v>852</v>
      </c>
      <c r="F793" s="85" t="str">
        <f>HYPERLINK("https://drive.google.com/file/d/18T0XnwZZeTU3UeNEBisaeas4x6aSuu5k/view?usp=drivesdk","https://drive.google.com/file/d/18T0XnwZZeTU3UeNEBisaeas4x6aSuu5k/view?usp=drivesdk")</f>
        <v>https://drive.google.com/file/d/18T0XnwZZeTU3UeNEBisaeas4x6aSuu5k/view?usp=drivesdk</v>
      </c>
      <c r="G793" s="7" t="s">
        <v>853</v>
      </c>
      <c r="H793" s="95" t="s">
        <v>3203</v>
      </c>
      <c r="I793" s="10"/>
      <c r="J793" s="8">
        <v>10</v>
      </c>
      <c r="K793" s="8">
        <v>163</v>
      </c>
      <c r="L793" s="11">
        <v>9.3055555555555558E-2</v>
      </c>
      <c r="M793" s="39" t="s">
        <v>720</v>
      </c>
      <c r="N793" s="43" t="s">
        <v>23</v>
      </c>
      <c r="O793" s="43" t="s">
        <v>802</v>
      </c>
    </row>
    <row r="794" spans="1:15" ht="27">
      <c r="A794" s="5">
        <v>41481</v>
      </c>
      <c r="B794" s="18" t="s">
        <v>15</v>
      </c>
      <c r="C794" s="34" t="s">
        <v>16</v>
      </c>
      <c r="D794" s="7" t="s">
        <v>848</v>
      </c>
      <c r="E794" s="67" t="s">
        <v>849</v>
      </c>
      <c r="F794" s="85" t="str">
        <f>HYPERLINK("https://drive.google.com/file/d/1LEaWTx6F2DMHoHyEKWuAryjtGqM7zdNM/view?usp=drivesdk","https://drive.google.com/file/d/1LEaWTx6F2DMHoHyEKWuAryjtGqM7zdNM/view?usp=drivesdk")</f>
        <v>https://drive.google.com/file/d/1LEaWTx6F2DMHoHyEKWuAryjtGqM7zdNM/view?usp=drivesdk</v>
      </c>
      <c r="G794" s="7" t="s">
        <v>850</v>
      </c>
      <c r="H794" s="97" t="s">
        <v>3248</v>
      </c>
      <c r="I794" s="10"/>
      <c r="J794" s="8">
        <v>30</v>
      </c>
      <c r="K794" s="8">
        <v>482</v>
      </c>
      <c r="L794" s="11">
        <v>0.2097222222222222</v>
      </c>
      <c r="M794" s="39" t="s">
        <v>22</v>
      </c>
      <c r="N794" s="43" t="s">
        <v>602</v>
      </c>
      <c r="O794" s="43" t="s">
        <v>603</v>
      </c>
    </row>
    <row r="795" spans="1:15" ht="27" customHeight="1">
      <c r="A795" s="5">
        <v>41476</v>
      </c>
      <c r="B795" s="18" t="s">
        <v>15</v>
      </c>
      <c r="C795" s="34" t="s">
        <v>16</v>
      </c>
      <c r="D795" s="7" t="s">
        <v>845</v>
      </c>
      <c r="E795" s="67" t="s">
        <v>846</v>
      </c>
      <c r="F795" s="85" t="str">
        <f>HYPERLINK("https://drive.google.com/file/d/1qO7jonlvdTOO5QFaLqQObR0_1KbI4mVU/view?usp=drivesdk","https://drive.google.com/file/d/1qO7jonlvdTOO5QFaLqQObR0_1KbI4mVU/view?usp=drivesdk")</f>
        <v>https://drive.google.com/file/d/1qO7jonlvdTOO5QFaLqQObR0_1KbI4mVU/view?usp=drivesdk</v>
      </c>
      <c r="G795" s="7" t="s">
        <v>847</v>
      </c>
      <c r="H795" s="95" t="s">
        <v>3351</v>
      </c>
      <c r="I795" s="10"/>
      <c r="J795" s="8">
        <v>54</v>
      </c>
      <c r="K795" s="8">
        <v>991</v>
      </c>
      <c r="L795" s="54">
        <v>0.2673611111111111</v>
      </c>
      <c r="M795" s="39" t="s">
        <v>720</v>
      </c>
      <c r="N795" s="43" t="s">
        <v>23</v>
      </c>
      <c r="O795" s="43" t="s">
        <v>802</v>
      </c>
    </row>
    <row r="796" spans="1:15" ht="27" customHeight="1">
      <c r="A796" s="5">
        <v>41470</v>
      </c>
      <c r="B796" s="18" t="s">
        <v>15</v>
      </c>
      <c r="C796" s="34" t="s">
        <v>16</v>
      </c>
      <c r="D796" s="7" t="s">
        <v>842</v>
      </c>
      <c r="E796" s="67" t="s">
        <v>843</v>
      </c>
      <c r="F796" s="85" t="str">
        <f>HYPERLINK("https://drive.google.com/file/d/1lcla5q0ziHw1UT6zONbSE71IfLPAeASZ/view?usp=drivesdk","https://drive.google.com/file/d/1lcla5q0ziHw1UT6zONbSE71IfLPAeASZ/view?usp=drivesdk")</f>
        <v>https://drive.google.com/file/d/1lcla5q0ziHw1UT6zONbSE71IfLPAeASZ/view?usp=drivesdk</v>
      </c>
      <c r="G796" s="7" t="s">
        <v>844</v>
      </c>
      <c r="H796" s="95" t="s">
        <v>3193</v>
      </c>
      <c r="I796" s="10"/>
      <c r="J796" s="8">
        <v>14</v>
      </c>
      <c r="K796" s="8"/>
      <c r="L796" s="11">
        <v>0.14374999999999999</v>
      </c>
      <c r="M796" s="39" t="s">
        <v>330</v>
      </c>
      <c r="N796" s="43" t="s">
        <v>331</v>
      </c>
      <c r="O796" s="43" t="s">
        <v>332</v>
      </c>
    </row>
    <row r="797" spans="1:15">
      <c r="A797" s="5">
        <v>41469</v>
      </c>
      <c r="B797" s="18" t="s">
        <v>15</v>
      </c>
      <c r="C797" s="23" t="s">
        <v>16</v>
      </c>
      <c r="D797" s="7" t="s">
        <v>244</v>
      </c>
      <c r="E797" s="67" t="s">
        <v>841</v>
      </c>
      <c r="F797" s="85" t="str">
        <f>HYPERLINK("https://drive.google.com/file/d/130Jjex8W_ZzPlOHsZj31yBE-RZHd1jFi/view?usp=drivesdk","https://drive.google.com/file/d/130Jjex8W_ZzPlOHsZj31yBE-RZHd1jFi/view?usp=drivesdk")</f>
        <v>https://drive.google.com/file/d/130Jjex8W_ZzPlOHsZj31yBE-RZHd1jFi/view?usp=drivesdk</v>
      </c>
      <c r="G797" s="7" t="s">
        <v>65</v>
      </c>
      <c r="H797" s="95" t="s">
        <v>3203</v>
      </c>
      <c r="I797" s="10"/>
      <c r="J797" s="8">
        <v>60</v>
      </c>
      <c r="K797" s="8">
        <v>2234</v>
      </c>
      <c r="L797" s="11">
        <v>0.2013888888888889</v>
      </c>
      <c r="M797" s="39" t="s">
        <v>22</v>
      </c>
      <c r="N797" s="43" t="s">
        <v>675</v>
      </c>
      <c r="O797" s="43" t="s">
        <v>676</v>
      </c>
    </row>
    <row r="798" spans="1:15">
      <c r="A798" s="5">
        <v>41468</v>
      </c>
      <c r="B798" s="18" t="s">
        <v>15</v>
      </c>
      <c r="C798" s="34" t="s">
        <v>16</v>
      </c>
      <c r="D798" s="7" t="s">
        <v>190</v>
      </c>
      <c r="E798" s="67" t="s">
        <v>840</v>
      </c>
      <c r="F798" s="85" t="str">
        <f>HYPERLINK("https://drive.google.com/file/d/11GslY9zZpJ1AVkrBSVIj-_jiaQ0fClpl/view?usp=drivesdk","https://drive.google.com/file/d/11GslY9zZpJ1AVkrBSVIj-_jiaQ0fClpl/view?usp=drivesdk")</f>
        <v>https://drive.google.com/file/d/11GslY9zZpJ1AVkrBSVIj-_jiaQ0fClpl/view?usp=drivesdk</v>
      </c>
      <c r="G798" s="7" t="s">
        <v>191</v>
      </c>
      <c r="H798" s="95" t="s">
        <v>3208</v>
      </c>
      <c r="I798" s="40"/>
      <c r="J798" s="41">
        <v>50</v>
      </c>
      <c r="K798" s="41">
        <v>207</v>
      </c>
      <c r="L798" s="46">
        <v>0.2069444444444444</v>
      </c>
      <c r="M798" s="39" t="s">
        <v>22</v>
      </c>
      <c r="N798" s="43" t="s">
        <v>23</v>
      </c>
      <c r="O798" s="43" t="s">
        <v>136</v>
      </c>
    </row>
    <row r="799" spans="1:15">
      <c r="A799" s="5">
        <v>41464</v>
      </c>
      <c r="B799" s="18" t="s">
        <v>15</v>
      </c>
      <c r="C799" s="34" t="s">
        <v>16</v>
      </c>
      <c r="D799" s="7" t="s">
        <v>837</v>
      </c>
      <c r="E799" s="67" t="s">
        <v>838</v>
      </c>
      <c r="F799" s="85" t="str">
        <f>HYPERLINK("https://drive.google.com/file/d/1HAPZjK4iA7nHrNP6olTWr5Q5RKJBNi2L/view?usp=drivesdk","https://drive.google.com/file/d/1HAPZjK4iA7nHrNP6olTWr5Q5RKJBNi2L/view?usp=drivesdk")</f>
        <v>https://drive.google.com/file/d/1HAPZjK4iA7nHrNP6olTWr5Q5RKJBNi2L/view?usp=drivesdk</v>
      </c>
      <c r="G799" s="7" t="s">
        <v>839</v>
      </c>
      <c r="H799" s="95" t="s">
        <v>3245</v>
      </c>
      <c r="I799" s="10"/>
      <c r="J799" s="8">
        <v>10</v>
      </c>
      <c r="K799" s="8">
        <v>23</v>
      </c>
      <c r="L799" s="11">
        <v>4.583333333333333E-2</v>
      </c>
      <c r="M799" s="39" t="s">
        <v>102</v>
      </c>
      <c r="N799" s="43" t="s">
        <v>194</v>
      </c>
      <c r="O799" s="43" t="s">
        <v>195</v>
      </c>
    </row>
    <row r="800" spans="1:15">
      <c r="A800" s="5">
        <v>41462</v>
      </c>
      <c r="B800" s="18" t="s">
        <v>15</v>
      </c>
      <c r="C800" s="34" t="s">
        <v>16</v>
      </c>
      <c r="D800" s="7" t="s">
        <v>835</v>
      </c>
      <c r="E800" s="105"/>
      <c r="G800" s="7" t="s">
        <v>836</v>
      </c>
      <c r="H800" s="73" t="s">
        <v>272</v>
      </c>
      <c r="I800" s="10"/>
      <c r="J800" s="8">
        <v>20</v>
      </c>
      <c r="K800" s="8"/>
      <c r="L800" s="11"/>
      <c r="M800" s="39" t="s">
        <v>22</v>
      </c>
      <c r="N800" s="43" t="s">
        <v>23</v>
      </c>
      <c r="O800" s="43" t="s">
        <v>136</v>
      </c>
    </row>
    <row r="801" spans="1:15" ht="27">
      <c r="A801" s="5">
        <v>41454</v>
      </c>
      <c r="B801" s="18" t="s">
        <v>15</v>
      </c>
      <c r="C801" s="34" t="s">
        <v>16</v>
      </c>
      <c r="D801" s="7" t="s">
        <v>832</v>
      </c>
      <c r="E801" s="67" t="s">
        <v>833</v>
      </c>
      <c r="F801" s="85" t="str">
        <f>HYPERLINK("https://drive.google.com/file/d/1yM4OUBkEFbqZYt9ciGwtAJU4-HeyvGQX/view?usp=drivesdk","https://drive.google.com/file/d/1yM4OUBkEFbqZYt9ciGwtAJU4-HeyvGQX/view?usp=drivesdk")</f>
        <v>https://drive.google.com/file/d/1yM4OUBkEFbqZYt9ciGwtAJU4-HeyvGQX/view?usp=drivesdk</v>
      </c>
      <c r="G801" s="7" t="s">
        <v>834</v>
      </c>
      <c r="H801" s="95" t="s">
        <v>3202</v>
      </c>
      <c r="I801" s="10"/>
      <c r="J801" s="8">
        <v>42</v>
      </c>
      <c r="K801" s="8">
        <v>1350</v>
      </c>
      <c r="L801" s="11">
        <v>0.16666666666666671</v>
      </c>
      <c r="M801" s="39" t="s">
        <v>22</v>
      </c>
      <c r="N801" s="43" t="s">
        <v>675</v>
      </c>
      <c r="O801" s="43" t="s">
        <v>676</v>
      </c>
    </row>
    <row r="802" spans="1:15" ht="27">
      <c r="A802" s="5">
        <v>41448</v>
      </c>
      <c r="B802" s="18" t="s">
        <v>15</v>
      </c>
      <c r="C802" s="23" t="s">
        <v>223</v>
      </c>
      <c r="D802" s="7" t="s">
        <v>828</v>
      </c>
      <c r="E802" s="67" t="s">
        <v>829</v>
      </c>
      <c r="F802" s="85" t="str">
        <f>HYPERLINK("https://drive.google.com/file/d/1M6Avr5KkSauvLVFlasLcw31omEPUbKbc/view?usp=drivesdk","https://drive.google.com/file/d/1M6Avr5KkSauvLVFlasLcw31omEPUbKbc/view?usp=drivesdk")</f>
        <v>https://drive.google.com/file/d/1M6Avr5KkSauvLVFlasLcw31omEPUbKbc/view?usp=drivesdk</v>
      </c>
      <c r="G802" s="7" t="s">
        <v>830</v>
      </c>
      <c r="H802" s="95" t="s">
        <v>3224</v>
      </c>
      <c r="I802" s="23" t="s">
        <v>831</v>
      </c>
      <c r="J802" s="8">
        <v>139</v>
      </c>
      <c r="K802" s="8">
        <v>2541</v>
      </c>
      <c r="L802" s="11">
        <v>0.42152777777777778</v>
      </c>
      <c r="M802" s="39" t="s">
        <v>22</v>
      </c>
      <c r="N802" s="43" t="s">
        <v>23</v>
      </c>
      <c r="O802" s="43" t="s">
        <v>136</v>
      </c>
    </row>
    <row r="803" spans="1:15">
      <c r="A803" s="5">
        <v>41447</v>
      </c>
      <c r="B803" s="18" t="s">
        <v>15</v>
      </c>
      <c r="C803" s="34" t="s">
        <v>16</v>
      </c>
      <c r="D803" s="7" t="s">
        <v>32</v>
      </c>
      <c r="E803" s="67" t="s">
        <v>826</v>
      </c>
      <c r="F803" s="85" t="str">
        <f>HYPERLINK("https://drive.google.com/file/d/1BIovZqbn1GR6Y18YHHf7CgNlpp5BYVuB/view?usp=drivesdk","https://drive.google.com/file/d/1BIovZqbn1GR6Y18YHHf7CgNlpp5BYVuB/view?usp=drivesdk")</f>
        <v>https://drive.google.com/file/d/1BIovZqbn1GR6Y18YHHf7CgNlpp5BYVuB/view?usp=drivesdk</v>
      </c>
      <c r="G803" s="7" t="s">
        <v>827</v>
      </c>
      <c r="H803" s="73" t="s">
        <v>222</v>
      </c>
      <c r="I803" s="10"/>
      <c r="J803" s="8">
        <v>77</v>
      </c>
      <c r="K803" s="8">
        <v>793</v>
      </c>
      <c r="L803" s="11">
        <v>0.33402777777777781</v>
      </c>
      <c r="M803" s="39" t="s">
        <v>22</v>
      </c>
      <c r="N803" s="43" t="s">
        <v>23</v>
      </c>
      <c r="O803" s="43" t="s">
        <v>136</v>
      </c>
    </row>
    <row r="804" spans="1:15">
      <c r="A804" s="5">
        <v>41441</v>
      </c>
      <c r="B804" s="18" t="s">
        <v>15</v>
      </c>
      <c r="C804" s="34" t="s">
        <v>16</v>
      </c>
      <c r="D804" s="7" t="s">
        <v>823</v>
      </c>
      <c r="E804" s="67" t="s">
        <v>824</v>
      </c>
      <c r="F804" s="85" t="str">
        <f>HYPERLINK("https://drive.google.com/file/d/1YsWA_jNrpjfUny8UQxwGj0dx-qYzfO3l/view?usp=drivesdk","https://drive.google.com/file/d/1YsWA_jNrpjfUny8UQxwGj0dx-qYzfO3l/view?usp=drivesdk")</f>
        <v>https://drive.google.com/file/d/1YsWA_jNrpjfUny8UQxwGj0dx-qYzfO3l/view?usp=drivesdk</v>
      </c>
      <c r="G804" s="7" t="s">
        <v>825</v>
      </c>
      <c r="H804" s="95" t="s">
        <v>3208</v>
      </c>
      <c r="I804" s="10"/>
      <c r="J804" s="8">
        <v>47</v>
      </c>
      <c r="K804" s="8">
        <v>180</v>
      </c>
      <c r="L804" s="11">
        <v>0.29097222222222219</v>
      </c>
      <c r="M804" s="39" t="s">
        <v>102</v>
      </c>
      <c r="N804" s="43" t="s">
        <v>194</v>
      </c>
      <c r="O804" s="43" t="s">
        <v>195</v>
      </c>
    </row>
    <row r="805" spans="1:15" ht="27">
      <c r="A805" s="5">
        <v>41434</v>
      </c>
      <c r="B805" s="18" t="s">
        <v>15</v>
      </c>
      <c r="C805" s="23" t="s">
        <v>16</v>
      </c>
      <c r="D805" s="7" t="s">
        <v>241</v>
      </c>
      <c r="E805" s="67" t="s">
        <v>822</v>
      </c>
      <c r="F805" s="85" t="str">
        <f>HYPERLINK("https://drive.google.com/file/d/1qZqqJbIEnTM2-Wbixk1YqqUbpYXenyrG/view?usp=drivesdk","https://drive.google.com/file/d/1qZqqJbIEnTM2-Wbixk1YqqUbpYXenyrG/view?usp=drivesdk")</f>
        <v>https://drive.google.com/file/d/1qZqqJbIEnTM2-Wbixk1YqqUbpYXenyrG/view?usp=drivesdk</v>
      </c>
      <c r="G805" s="7" t="s">
        <v>763</v>
      </c>
      <c r="H805" s="95" t="s">
        <v>3219</v>
      </c>
      <c r="I805" s="70" t="s">
        <v>244</v>
      </c>
      <c r="J805" s="8">
        <v>121</v>
      </c>
      <c r="K805" s="8">
        <v>2365</v>
      </c>
      <c r="L805" s="11">
        <v>0.42916666666666659</v>
      </c>
      <c r="M805" s="39" t="s">
        <v>22</v>
      </c>
      <c r="N805" s="43" t="s">
        <v>23</v>
      </c>
      <c r="O805" s="43" t="s">
        <v>136</v>
      </c>
    </row>
    <row r="806" spans="1:15">
      <c r="A806" s="5">
        <v>41420</v>
      </c>
      <c r="B806" s="18" t="s">
        <v>15</v>
      </c>
      <c r="C806" s="34" t="s">
        <v>16</v>
      </c>
      <c r="D806" s="21" t="s">
        <v>253</v>
      </c>
      <c r="E806" s="67" t="s">
        <v>821</v>
      </c>
      <c r="F806" s="85" t="str">
        <f>HYPERLINK("https://drive.google.com/file/d/1eLnMztKIWJqVBs1UFCsqZV9Kbtq6kHNj/view?usp=drivesdk","https://drive.google.com/file/d/1eLnMztKIWJqVBs1UFCsqZV9Kbtq6kHNj/view?usp=drivesdk")</f>
        <v>https://drive.google.com/file/d/1eLnMztKIWJqVBs1UFCsqZV9Kbtq6kHNj/view?usp=drivesdk</v>
      </c>
      <c r="G806" s="7" t="s">
        <v>664</v>
      </c>
      <c r="H806" s="95" t="s">
        <v>3352</v>
      </c>
      <c r="I806" s="40"/>
      <c r="J806" s="41">
        <v>173</v>
      </c>
      <c r="K806" s="41">
        <v>1800</v>
      </c>
      <c r="L806" s="46">
        <v>0.39305555555555549</v>
      </c>
      <c r="M806" s="39" t="s">
        <v>22</v>
      </c>
      <c r="N806" s="43" t="s">
        <v>23</v>
      </c>
      <c r="O806" s="43" t="s">
        <v>136</v>
      </c>
    </row>
    <row r="807" spans="1:15" ht="27" customHeight="1">
      <c r="A807" s="5">
        <v>41416</v>
      </c>
      <c r="B807" s="18" t="s">
        <v>15</v>
      </c>
      <c r="C807" s="34" t="s">
        <v>16</v>
      </c>
      <c r="D807" s="21" t="s">
        <v>32</v>
      </c>
      <c r="E807" s="68" t="s">
        <v>819</v>
      </c>
      <c r="F807" s="85" t="str">
        <f>HYPERLINK("https://drive.google.com/file/d/1Rx8NmbF9DigMT7Dvlenj7HDdg0wldloG/view?usp=drivesdk","https://drive.google.com/file/d/1Rx8NmbF9DigMT7Dvlenj7HDdg0wldloG/view?usp=drivesdk")</f>
        <v>https://drive.google.com/file/d/1Rx8NmbF9DigMT7Dvlenj7HDdg0wldloG/view?usp=drivesdk</v>
      </c>
      <c r="G807" s="21" t="s">
        <v>820</v>
      </c>
      <c r="H807" s="95" t="s">
        <v>3208</v>
      </c>
      <c r="I807" s="40"/>
      <c r="J807" s="41">
        <v>46</v>
      </c>
      <c r="K807" s="41"/>
      <c r="L807" s="46">
        <v>0.13125000000000001</v>
      </c>
      <c r="M807" s="39" t="s">
        <v>102</v>
      </c>
      <c r="N807" s="43" t="s">
        <v>194</v>
      </c>
      <c r="O807" s="43" t="s">
        <v>195</v>
      </c>
    </row>
    <row r="808" spans="1:15" ht="67.5" customHeight="1">
      <c r="A808" s="5">
        <v>41399</v>
      </c>
      <c r="B808" s="18" t="s">
        <v>15</v>
      </c>
      <c r="C808" s="34" t="s">
        <v>16</v>
      </c>
      <c r="D808" s="21" t="s">
        <v>753</v>
      </c>
      <c r="E808" s="67" t="s">
        <v>818</v>
      </c>
      <c r="F808" s="85" t="str">
        <f>HYPERLINK("https://drive.google.com/file/d/109a4soeHVtPfGTyjNQ8SoVhFhhZ_M0E2/view?usp=drivesdk","https://drive.google.com/file/d/109a4soeHVtPfGTyjNQ8SoVhFhhZ_M0E2/view?usp=drivesdk")</f>
        <v>https://drive.google.com/file/d/109a4soeHVtPfGTyjNQ8SoVhFhhZ_M0E2/view?usp=drivesdk</v>
      </c>
      <c r="G808" s="21" t="s">
        <v>755</v>
      </c>
      <c r="H808" s="95" t="s">
        <v>3236</v>
      </c>
      <c r="I808" s="40"/>
      <c r="J808" s="41">
        <v>40</v>
      </c>
      <c r="K808" s="41">
        <v>1447</v>
      </c>
      <c r="L808" s="46">
        <v>0.21319444444444441</v>
      </c>
      <c r="M808" s="39" t="s">
        <v>22</v>
      </c>
      <c r="N808" s="43" t="s">
        <v>23</v>
      </c>
      <c r="O808" s="43" t="s">
        <v>136</v>
      </c>
    </row>
    <row r="809" spans="1:15" ht="27" customHeight="1">
      <c r="A809" s="5">
        <v>41398</v>
      </c>
      <c r="B809" s="18" t="s">
        <v>15</v>
      </c>
      <c r="C809" s="34" t="s">
        <v>16</v>
      </c>
      <c r="D809" s="7" t="s">
        <v>816</v>
      </c>
      <c r="E809" s="67" t="s">
        <v>817</v>
      </c>
      <c r="F809" s="85" t="str">
        <f>HYPERLINK("https://drive.google.com/file/d/1QAJnTj9EGrKgcirIvVhYpBHQ1qRvTCS_/view?usp=drivesdk","https://drive.google.com/file/d/1QAJnTj9EGrKgcirIvVhYpBHQ1qRvTCS_/view?usp=drivesdk")</f>
        <v>https://drive.google.com/file/d/1QAJnTj9EGrKgcirIvVhYpBHQ1qRvTCS_/view?usp=drivesdk</v>
      </c>
      <c r="G809" s="7" t="s">
        <v>816</v>
      </c>
      <c r="H809" s="95" t="s">
        <v>3202</v>
      </c>
      <c r="I809" s="40"/>
      <c r="J809" s="41">
        <v>28</v>
      </c>
      <c r="K809" s="41">
        <v>1055</v>
      </c>
      <c r="L809" s="46">
        <v>0.1048611111111111</v>
      </c>
      <c r="M809" s="39" t="s">
        <v>22</v>
      </c>
      <c r="N809" s="43" t="s">
        <v>23</v>
      </c>
      <c r="O809" s="43" t="s">
        <v>136</v>
      </c>
    </row>
    <row r="810" spans="1:15" ht="40.5" customHeight="1">
      <c r="A810" s="5">
        <v>41397</v>
      </c>
      <c r="B810" s="18" t="s">
        <v>15</v>
      </c>
      <c r="C810" s="34" t="s">
        <v>16</v>
      </c>
      <c r="D810" s="7" t="s">
        <v>813</v>
      </c>
      <c r="E810" s="67" t="s">
        <v>814</v>
      </c>
      <c r="F810" s="85" t="str">
        <f>HYPERLINK("https://drive.google.com/file/d/1Ztc2dz07eP1Cp5_UaH7s30z48Np3-7ak/view?usp=drivesdk","https://drive.google.com/file/d/1Ztc2dz07eP1Cp5_UaH7s30z48Np3-7ak/view?usp=drivesdk")</f>
        <v>https://drive.google.com/file/d/1Ztc2dz07eP1Cp5_UaH7s30z48Np3-7ak/view?usp=drivesdk</v>
      </c>
      <c r="G810" s="7" t="s">
        <v>815</v>
      </c>
      <c r="H810" s="95" t="s">
        <v>3193</v>
      </c>
      <c r="I810" s="10"/>
      <c r="J810" s="8">
        <v>22</v>
      </c>
      <c r="K810" s="8">
        <v>184</v>
      </c>
      <c r="L810" s="11">
        <v>0.12638888888888891</v>
      </c>
      <c r="M810" s="39" t="s">
        <v>22</v>
      </c>
      <c r="N810" s="43" t="s">
        <v>675</v>
      </c>
      <c r="O810" s="43" t="s">
        <v>676</v>
      </c>
    </row>
    <row r="811" spans="1:15" ht="40.5" customHeight="1">
      <c r="A811" s="5">
        <v>41393</v>
      </c>
      <c r="B811" s="18" t="s">
        <v>15</v>
      </c>
      <c r="C811" s="34" t="s">
        <v>16</v>
      </c>
      <c r="D811" s="7" t="s">
        <v>32</v>
      </c>
      <c r="E811" s="68" t="s">
        <v>811</v>
      </c>
      <c r="F811" s="85" t="str">
        <f>HYPERLINK("https://drive.google.com/file/d/1_qEFlWxYQkAIMEStOF26rzn2IQeidWwd/view?usp=drivesdk","https://drive.google.com/file/d/1_qEFlWxYQkAIMEStOF26rzn2IQeidWwd/view?usp=drivesdk")</f>
        <v>https://drive.google.com/file/d/1_qEFlWxYQkAIMEStOF26rzn2IQeidWwd/view?usp=drivesdk</v>
      </c>
      <c r="G811" s="7" t="s">
        <v>812</v>
      </c>
      <c r="H811" s="95" t="s">
        <v>3208</v>
      </c>
      <c r="I811" s="10"/>
      <c r="J811" s="8">
        <v>72</v>
      </c>
      <c r="K811" s="8"/>
      <c r="L811" s="11">
        <v>0.26666666666666672</v>
      </c>
      <c r="M811" s="39" t="s">
        <v>102</v>
      </c>
      <c r="N811" s="43" t="s">
        <v>194</v>
      </c>
      <c r="O811" s="43" t="s">
        <v>195</v>
      </c>
    </row>
    <row r="812" spans="1:15" ht="18.75" customHeight="1">
      <c r="A812" s="5">
        <v>41392</v>
      </c>
      <c r="B812" s="18" t="s">
        <v>15</v>
      </c>
      <c r="C812" s="23" t="s">
        <v>16</v>
      </c>
      <c r="D812" s="7" t="s">
        <v>354</v>
      </c>
      <c r="E812" s="68" t="s">
        <v>809</v>
      </c>
      <c r="F812" s="85" t="str">
        <f>HYPERLINK("https://drive.google.com/file/d/16b03UiaMBFpUu9DbCOA9poiAzKuyNj3k/view?usp=drivesdk","https://drive.google.com/file/d/16b03UiaMBFpUu9DbCOA9poiAzKuyNj3k/view?usp=drivesdk")</f>
        <v>https://drive.google.com/file/d/16b03UiaMBFpUu9DbCOA9poiAzKuyNj3k/view?usp=drivesdk</v>
      </c>
      <c r="G812" s="7" t="s">
        <v>810</v>
      </c>
      <c r="H812" s="95" t="s">
        <v>3225</v>
      </c>
      <c r="I812" s="10" t="s">
        <v>357</v>
      </c>
      <c r="J812" s="8">
        <v>205</v>
      </c>
      <c r="K812" s="8">
        <v>3160</v>
      </c>
      <c r="L812" s="11">
        <v>0.48958333333333331</v>
      </c>
      <c r="M812" s="39" t="s">
        <v>22</v>
      </c>
      <c r="N812" s="43" t="s">
        <v>675</v>
      </c>
      <c r="O812" s="43" t="s">
        <v>676</v>
      </c>
    </row>
    <row r="813" spans="1:15" ht="14.25">
      <c r="A813" s="5">
        <v>41378</v>
      </c>
      <c r="B813" s="18" t="s">
        <v>15</v>
      </c>
      <c r="C813" s="23" t="s">
        <v>223</v>
      </c>
      <c r="D813" s="7" t="s">
        <v>730</v>
      </c>
      <c r="E813" s="68" t="s">
        <v>807</v>
      </c>
      <c r="F813" s="85" t="str">
        <f>HYPERLINK("https://drive.google.com/file/d/1qDY5FYmQRl7SqqtQHsfdtu7AtC4xipaY/view?usp=drivesdk","https://drive.google.com/file/d/1qDY5FYmQRl7SqqtQHsfdtu7AtC4xipaY/view?usp=drivesdk")</f>
        <v>https://drive.google.com/file/d/1qDY5FYmQRl7SqqtQHsfdtu7AtC4xipaY/view?usp=drivesdk</v>
      </c>
      <c r="G813" s="7" t="s">
        <v>808</v>
      </c>
      <c r="H813" s="73" t="s">
        <v>3209</v>
      </c>
      <c r="I813" s="23"/>
      <c r="J813" s="8">
        <v>87</v>
      </c>
      <c r="K813" s="8">
        <v>802</v>
      </c>
      <c r="L813" s="11">
        <v>0.27083333333333331</v>
      </c>
      <c r="M813" s="39" t="s">
        <v>22</v>
      </c>
      <c r="N813" s="43" t="s">
        <v>23</v>
      </c>
      <c r="O813" s="43" t="s">
        <v>136</v>
      </c>
    </row>
    <row r="814" spans="1:15">
      <c r="A814" s="5">
        <v>41377</v>
      </c>
      <c r="B814" s="18" t="s">
        <v>15</v>
      </c>
      <c r="C814" s="34" t="s">
        <v>16</v>
      </c>
      <c r="D814" s="21" t="s">
        <v>253</v>
      </c>
      <c r="E814" s="68" t="s">
        <v>806</v>
      </c>
      <c r="F814" s="85" t="str">
        <f>HYPERLINK("https://drive.google.com/file/d/1Q7R03CGMBpatYup93iNSVtbNSwnDZamI/view?usp=drivesdk","https://drive.google.com/file/d/1Q7R03CGMBpatYup93iNSVtbNSwnDZamI/view?usp=drivesdk")</f>
        <v>https://drive.google.com/file/d/1Q7R03CGMBpatYup93iNSVtbNSwnDZamI/view?usp=drivesdk</v>
      </c>
      <c r="G814" s="7" t="s">
        <v>664</v>
      </c>
      <c r="H814" s="95" t="s">
        <v>3352</v>
      </c>
      <c r="J814" s="41">
        <v>173</v>
      </c>
      <c r="K814" s="41">
        <v>1800</v>
      </c>
      <c r="L814" s="11">
        <v>0.41597222222222219</v>
      </c>
      <c r="M814" s="39" t="s">
        <v>22</v>
      </c>
      <c r="N814" s="43" t="s">
        <v>23</v>
      </c>
      <c r="O814" s="43" t="s">
        <v>136</v>
      </c>
    </row>
    <row r="815" spans="1:15" ht="40.5" customHeight="1">
      <c r="A815" s="5">
        <v>41342</v>
      </c>
      <c r="B815" s="18" t="s">
        <v>15</v>
      </c>
      <c r="C815" s="34" t="s">
        <v>16</v>
      </c>
      <c r="D815" s="7" t="s">
        <v>803</v>
      </c>
      <c r="E815" s="68" t="s">
        <v>804</v>
      </c>
      <c r="F815" s="85" t="str">
        <f>HYPERLINK("https://drive.google.com/file/d/1zqD7SwxwWMGEdTwI1lB3UYxsyuDjii1O/view?usp=drivesdk","https://drive.google.com/file/d/1zqD7SwxwWMGEdTwI1lB3UYxsyuDjii1O/view?usp=drivesdk")</f>
        <v>https://drive.google.com/file/d/1zqD7SwxwWMGEdTwI1lB3UYxsyuDjii1O/view?usp=drivesdk</v>
      </c>
      <c r="G815" s="7" t="s">
        <v>805</v>
      </c>
      <c r="H815" s="95" t="s">
        <v>3193</v>
      </c>
      <c r="I815" s="24" t="s">
        <v>40</v>
      </c>
      <c r="J815" s="8">
        <v>44</v>
      </c>
      <c r="K815" s="8">
        <v>794</v>
      </c>
      <c r="L815" s="11">
        <v>0.32222222222222219</v>
      </c>
      <c r="M815" s="39" t="s">
        <v>720</v>
      </c>
      <c r="N815" s="43" t="s">
        <v>23</v>
      </c>
      <c r="O815" s="43" t="s">
        <v>802</v>
      </c>
    </row>
    <row r="816" spans="1:15" ht="13.5">
      <c r="A816" s="5">
        <v>41335</v>
      </c>
      <c r="B816" s="18" t="s">
        <v>15</v>
      </c>
      <c r="C816" s="23" t="s">
        <v>223</v>
      </c>
      <c r="D816" s="7" t="s">
        <v>730</v>
      </c>
      <c r="E816" s="69"/>
      <c r="F816" s="85" t="str">
        <f>HYPERLINK("https://drive.google.com/file/d/1ym7_q0Dpw6POMptnoaddUngLB29BHzKX/view?usp=drivesdk","https://drive.google.com/file/d/1ym7_q0Dpw6POMptnoaddUngLB29BHzKX/view?usp=drivesdk")</f>
        <v>https://drive.google.com/file/d/1ym7_q0Dpw6POMptnoaddUngLB29BHzKX/view?usp=drivesdk</v>
      </c>
      <c r="G816" s="7" t="s">
        <v>730</v>
      </c>
      <c r="H816" s="95" t="s">
        <v>3209</v>
      </c>
      <c r="I816" s="23"/>
      <c r="J816" s="8">
        <v>30</v>
      </c>
      <c r="K816" s="8"/>
      <c r="L816" s="11"/>
      <c r="M816" s="39" t="s">
        <v>720</v>
      </c>
      <c r="N816" s="43" t="s">
        <v>23</v>
      </c>
      <c r="O816" s="43" t="s">
        <v>802</v>
      </c>
    </row>
    <row r="817" spans="1:15" ht="27" customHeight="1">
      <c r="A817" s="5">
        <v>41334</v>
      </c>
      <c r="B817" s="18" t="s">
        <v>15</v>
      </c>
      <c r="C817" s="34" t="s">
        <v>16</v>
      </c>
      <c r="D817" s="7" t="s">
        <v>799</v>
      </c>
      <c r="E817" s="68" t="s">
        <v>800</v>
      </c>
      <c r="F817" s="85" t="str">
        <f>HYPERLINK("https://drive.google.com/file/d/1hsRFaGPQcIsTULe6rTEPw8pJNHQyfC72/view?usp=drivesdk","https://drive.google.com/file/d/1hsRFaGPQcIsTULe6rTEPw8pJNHQyfC72/view?usp=drivesdk")</f>
        <v>https://drive.google.com/file/d/1hsRFaGPQcIsTULe6rTEPw8pJNHQyfC72/view?usp=drivesdk</v>
      </c>
      <c r="G817" s="7" t="s">
        <v>801</v>
      </c>
      <c r="H817" s="95" t="s">
        <v>3193</v>
      </c>
      <c r="I817" s="25" t="s">
        <v>629</v>
      </c>
      <c r="J817" s="8">
        <v>43</v>
      </c>
      <c r="K817" s="8">
        <v>238</v>
      </c>
      <c r="L817" s="11">
        <v>0.24027777777777781</v>
      </c>
      <c r="M817" s="39" t="s">
        <v>22</v>
      </c>
      <c r="N817" s="43" t="s">
        <v>675</v>
      </c>
      <c r="O817" s="43" t="s">
        <v>676</v>
      </c>
    </row>
    <row r="818" spans="1:15" ht="27" customHeight="1">
      <c r="A818" s="5">
        <v>41329</v>
      </c>
      <c r="B818" s="18" t="s">
        <v>15</v>
      </c>
      <c r="C818" s="34" t="s">
        <v>16</v>
      </c>
      <c r="D818" s="7" t="s">
        <v>796</v>
      </c>
      <c r="E818" s="68" t="s">
        <v>797</v>
      </c>
      <c r="F818" s="85" t="str">
        <f>HYPERLINK("https://drive.google.com/file/d/1bJt2ztyvDaenAYsdIqbRnInUgpC9bWN-/view?usp=drivesdk","https://drive.google.com/file/d/1bJt2ztyvDaenAYsdIqbRnInUgpC9bWN-/view?usp=drivesdk")</f>
        <v>https://drive.google.com/file/d/1bJt2ztyvDaenAYsdIqbRnInUgpC9bWN-/view?usp=drivesdk</v>
      </c>
      <c r="G818" s="7" t="s">
        <v>798</v>
      </c>
      <c r="H818" s="95" t="s">
        <v>3193</v>
      </c>
      <c r="I818" s="10"/>
      <c r="J818" s="8">
        <v>19</v>
      </c>
      <c r="K818" s="8">
        <v>356</v>
      </c>
      <c r="L818" s="11">
        <v>0.20416666666666669</v>
      </c>
      <c r="M818" s="39" t="s">
        <v>330</v>
      </c>
      <c r="N818" s="43" t="s">
        <v>331</v>
      </c>
      <c r="O818" s="43" t="s">
        <v>332</v>
      </c>
    </row>
    <row r="819" spans="1:15" ht="27">
      <c r="A819" s="5">
        <v>41323</v>
      </c>
      <c r="B819" s="18" t="s">
        <v>15</v>
      </c>
      <c r="C819" s="34" t="s">
        <v>16</v>
      </c>
      <c r="D819" s="7" t="s">
        <v>794</v>
      </c>
      <c r="E819" s="68"/>
      <c r="G819" s="7" t="s">
        <v>795</v>
      </c>
      <c r="H819" s="95" t="s">
        <v>3193</v>
      </c>
      <c r="I819" s="10"/>
      <c r="J819" s="8">
        <v>10</v>
      </c>
      <c r="K819" s="8"/>
      <c r="L819" s="11"/>
      <c r="M819" s="39" t="s">
        <v>330</v>
      </c>
      <c r="N819" s="43" t="s">
        <v>331</v>
      </c>
      <c r="O819" s="43" t="s">
        <v>332</v>
      </c>
    </row>
    <row r="820" spans="1:15" ht="27" customHeight="1">
      <c r="A820" s="5">
        <v>41315</v>
      </c>
      <c r="B820" s="18" t="s">
        <v>15</v>
      </c>
      <c r="C820" s="23" t="s">
        <v>16</v>
      </c>
      <c r="D820" s="7" t="s">
        <v>791</v>
      </c>
      <c r="E820" s="68" t="s">
        <v>792</v>
      </c>
      <c r="F820" s="85" t="str">
        <f>HYPERLINK("https://drive.google.com/file/d/1TJRB1-FFWf4MMUalvpmpwRttwfCxWmy-/view?usp=drivesdk","https://drive.google.com/file/d/1TJRB1-FFWf4MMUalvpmpwRttwfCxWmy-/view?usp=drivesdk")</f>
        <v>https://drive.google.com/file/d/1TJRB1-FFWf4MMUalvpmpwRttwfCxWmy-/view?usp=drivesdk</v>
      </c>
      <c r="G820" s="7" t="s">
        <v>793</v>
      </c>
      <c r="H820" s="95" t="s">
        <v>3221</v>
      </c>
      <c r="I820" s="10"/>
      <c r="J820" s="8">
        <v>88</v>
      </c>
      <c r="K820" s="8">
        <v>733</v>
      </c>
      <c r="L820" s="11">
        <v>0.27777777777777779</v>
      </c>
      <c r="M820" s="39" t="s">
        <v>22</v>
      </c>
      <c r="N820" s="43" t="s">
        <v>675</v>
      </c>
      <c r="O820" s="43" t="s">
        <v>676</v>
      </c>
    </row>
    <row r="821" spans="1:15" ht="27" customHeight="1">
      <c r="A821" s="5">
        <v>41314</v>
      </c>
      <c r="B821" s="18" t="s">
        <v>15</v>
      </c>
      <c r="C821" s="34" t="s">
        <v>16</v>
      </c>
      <c r="D821" s="7" t="s">
        <v>788</v>
      </c>
      <c r="E821" s="68" t="s">
        <v>789</v>
      </c>
      <c r="F821" s="85" t="str">
        <f>HYPERLINK("https://drive.google.com/file/d/1djkunK-YTmnEiyxivhJWaxQvcswvF-0Y/view?usp=drivesdk","https://drive.google.com/file/d/1djkunK-YTmnEiyxivhJWaxQvcswvF-0Y/view?usp=drivesdk")</f>
        <v>https://drive.google.com/file/d/1djkunK-YTmnEiyxivhJWaxQvcswvF-0Y/view?usp=drivesdk</v>
      </c>
      <c r="G821" s="7" t="s">
        <v>790</v>
      </c>
      <c r="H821" s="95" t="s">
        <v>3233</v>
      </c>
      <c r="I821" s="15" t="s">
        <v>404</v>
      </c>
      <c r="J821" s="8">
        <v>65</v>
      </c>
      <c r="K821" s="8">
        <v>838</v>
      </c>
      <c r="L821" s="11">
        <v>0.33611111111111108</v>
      </c>
      <c r="M821" s="39" t="s">
        <v>22</v>
      </c>
      <c r="N821" s="43" t="s">
        <v>675</v>
      </c>
      <c r="O821" s="43" t="s">
        <v>676</v>
      </c>
    </row>
    <row r="822" spans="1:15">
      <c r="A822" s="5">
        <v>41301</v>
      </c>
      <c r="B822" s="18" t="s">
        <v>15</v>
      </c>
      <c r="C822" s="23" t="s">
        <v>16</v>
      </c>
      <c r="D822" s="7" t="s">
        <v>277</v>
      </c>
      <c r="E822" s="68" t="s">
        <v>786</v>
      </c>
      <c r="F822" s="85" t="str">
        <f>HYPERLINK("https://drive.google.com/file/d/1c24FR0zRI4zGIOn3f-e8eUzFO7AyEe3R/view?usp=drivesdk","https://drive.google.com/file/d/1c24FR0zRI4zGIOn3f-e8eUzFO7AyEe3R/view?usp=drivesdk")</f>
        <v>https://drive.google.com/file/d/1c24FR0zRI4zGIOn3f-e8eUzFO7AyEe3R/view?usp=drivesdk</v>
      </c>
      <c r="G822" s="7" t="s">
        <v>787</v>
      </c>
      <c r="H822" s="95" t="s">
        <v>3351</v>
      </c>
      <c r="I822" s="10"/>
      <c r="J822" s="8">
        <v>137</v>
      </c>
      <c r="K822" s="8">
        <v>889</v>
      </c>
      <c r="L822" s="11">
        <v>0.40138888888888891</v>
      </c>
      <c r="M822" s="39" t="s">
        <v>22</v>
      </c>
      <c r="N822" s="43" t="s">
        <v>675</v>
      </c>
      <c r="O822" s="43" t="s">
        <v>676</v>
      </c>
    </row>
    <row r="823" spans="1:15" ht="18.75" customHeight="1">
      <c r="A823" s="5">
        <v>41294</v>
      </c>
      <c r="B823" s="18" t="s">
        <v>15</v>
      </c>
      <c r="C823" s="23" t="s">
        <v>196</v>
      </c>
      <c r="D823" s="7" t="s">
        <v>319</v>
      </c>
      <c r="E823" s="68" t="s">
        <v>784</v>
      </c>
      <c r="F823" s="85" t="str">
        <f>HYPERLINK("https://drive.google.com/file/d/1A_hYA89YjWnlJm2qsSHpkO1sxhc5-8HX/view?usp=drivesdk","https://drive.google.com/file/d/1A_hYA89YjWnlJm2qsSHpkO1sxhc5-8HX/view?usp=drivesdk")</f>
        <v>https://drive.google.com/file/d/1A_hYA89YjWnlJm2qsSHpkO1sxhc5-8HX/view?usp=drivesdk</v>
      </c>
      <c r="G823" s="7" t="s">
        <v>785</v>
      </c>
      <c r="H823" s="95" t="s">
        <v>3208</v>
      </c>
      <c r="I823" s="10"/>
      <c r="J823" s="8">
        <v>73</v>
      </c>
      <c r="K823" s="8">
        <v>831</v>
      </c>
      <c r="L823" s="11">
        <v>0.29236111111111113</v>
      </c>
      <c r="M823" s="39" t="s">
        <v>720</v>
      </c>
      <c r="N823" s="43" t="s">
        <v>675</v>
      </c>
      <c r="O823" s="43" t="s">
        <v>721</v>
      </c>
    </row>
    <row r="824" spans="1:15">
      <c r="A824" s="5">
        <v>41287</v>
      </c>
      <c r="B824" s="18" t="s">
        <v>15</v>
      </c>
      <c r="C824" s="34" t="s">
        <v>16</v>
      </c>
      <c r="D824" s="7" t="s">
        <v>781</v>
      </c>
      <c r="E824" s="68" t="s">
        <v>782</v>
      </c>
      <c r="F824" s="85" t="str">
        <f>HYPERLINK("https://drive.google.com/file/d/1F__OLUHvLuSVjx3o-sR8REyvpyydoRTX/view?usp=drivesdk","https://drive.google.com/file/d/1F__OLUHvLuSVjx3o-sR8REyvpyydoRTX/view?usp=drivesdk")</f>
        <v>https://drive.google.com/file/d/1F__OLUHvLuSVjx3o-sR8REyvpyydoRTX/view?usp=drivesdk</v>
      </c>
      <c r="G824" s="7" t="s">
        <v>783</v>
      </c>
      <c r="H824" s="95" t="s">
        <v>3221</v>
      </c>
      <c r="I824" s="15" t="s">
        <v>404</v>
      </c>
      <c r="J824" s="8">
        <v>48</v>
      </c>
      <c r="K824" s="8">
        <v>109</v>
      </c>
      <c r="L824" s="11">
        <v>0.2277777777777778</v>
      </c>
      <c r="M824" s="39" t="s">
        <v>330</v>
      </c>
      <c r="N824" s="43" t="s">
        <v>331</v>
      </c>
      <c r="O824" s="43" t="s">
        <v>332</v>
      </c>
    </row>
    <row r="825" spans="1:15">
      <c r="A825" s="5">
        <v>41223</v>
      </c>
      <c r="B825" s="18" t="s">
        <v>15</v>
      </c>
      <c r="C825" s="34" t="s">
        <v>16</v>
      </c>
      <c r="D825" s="7" t="s">
        <v>610</v>
      </c>
      <c r="E825" s="69"/>
      <c r="G825" s="7" t="s">
        <v>780</v>
      </c>
      <c r="H825" s="95" t="s">
        <v>3203</v>
      </c>
      <c r="I825" s="10"/>
      <c r="J825" s="8">
        <v>15</v>
      </c>
      <c r="K825" s="8"/>
      <c r="L825" s="11"/>
      <c r="M825" s="39" t="s">
        <v>22</v>
      </c>
      <c r="N825" s="43" t="s">
        <v>675</v>
      </c>
      <c r="O825" s="43" t="s">
        <v>676</v>
      </c>
    </row>
    <row r="826" spans="1:15" ht="27" customHeight="1">
      <c r="A826" s="5">
        <v>41217</v>
      </c>
      <c r="B826" s="18" t="s">
        <v>15</v>
      </c>
      <c r="C826" s="34" t="s">
        <v>16</v>
      </c>
      <c r="D826" s="7" t="s">
        <v>775</v>
      </c>
      <c r="E826" s="68" t="s">
        <v>776</v>
      </c>
      <c r="F826" s="85" t="str">
        <f>HYPERLINK("https://drive.google.com/file/d/1u-KALQl7aBoA4HW3PP3VInbmjE1F5Swd/view?usp=drivesdk","https://drive.google.com/file/d/1u-KALQl7aBoA4HW3PP3VInbmjE1F5Swd/view?usp=drivesdk")</f>
        <v>https://drive.google.com/file/d/1u-KALQl7aBoA4HW3PP3VInbmjE1F5Swd/view?usp=drivesdk</v>
      </c>
      <c r="G826" s="7" t="s">
        <v>777</v>
      </c>
      <c r="H826" s="95" t="s">
        <v>3247</v>
      </c>
      <c r="I826" s="10" t="s">
        <v>778</v>
      </c>
      <c r="J826" s="8">
        <v>34</v>
      </c>
      <c r="K826" s="8">
        <v>107</v>
      </c>
      <c r="L826" s="11">
        <v>0.26111111111111113</v>
      </c>
      <c r="M826" s="39" t="s">
        <v>779</v>
      </c>
      <c r="N826" s="43" t="s">
        <v>267</v>
      </c>
      <c r="O826" s="43" t="s">
        <v>267</v>
      </c>
    </row>
    <row r="827" spans="1:15" ht="54" customHeight="1">
      <c r="A827" s="5">
        <v>41196</v>
      </c>
      <c r="B827" s="18" t="s">
        <v>15</v>
      </c>
      <c r="C827" s="34" t="s">
        <v>16</v>
      </c>
      <c r="D827" s="7" t="s">
        <v>772</v>
      </c>
      <c r="E827" s="68" t="s">
        <v>773</v>
      </c>
      <c r="F827" s="85" t="str">
        <f>HYPERLINK("https://drive.google.com/file/d/1cb_O1vHxXXgsa4nIUUonUqz_hXwVnBl9/view?usp=drivesdk","https://drive.google.com/file/d/1cb_O1vHxXXgsa4nIUUonUqz_hXwVnBl9/view?usp=drivesdk")</f>
        <v>https://drive.google.com/file/d/1cb_O1vHxXXgsa4nIUUonUqz_hXwVnBl9/view?usp=drivesdk</v>
      </c>
      <c r="G827" s="7" t="s">
        <v>774</v>
      </c>
      <c r="H827" s="95" t="s">
        <v>3225</v>
      </c>
      <c r="I827" s="10"/>
      <c r="J827" s="8">
        <v>43</v>
      </c>
      <c r="K827" s="8">
        <v>829</v>
      </c>
      <c r="L827" s="11">
        <v>0.21527777777777779</v>
      </c>
      <c r="M827" s="39" t="s">
        <v>22</v>
      </c>
      <c r="N827" s="43" t="s">
        <v>675</v>
      </c>
      <c r="O827" s="43" t="s">
        <v>676</v>
      </c>
    </row>
    <row r="828" spans="1:15" ht="40.5" customHeight="1">
      <c r="A828" s="5">
        <v>41188</v>
      </c>
      <c r="B828" s="18" t="s">
        <v>15</v>
      </c>
      <c r="C828" s="23" t="s">
        <v>16</v>
      </c>
      <c r="D828" s="7" t="s">
        <v>769</v>
      </c>
      <c r="E828" s="68" t="s">
        <v>770</v>
      </c>
      <c r="F828" s="85" t="str">
        <f>HYPERLINK("https://drive.google.com/file/d/1FcoMparuep2ur5Q45Q1xuP097bqMYHKB/view?usp=drivesdk","https://drive.google.com/file/d/1FcoMparuep2ur5Q45Q1xuP097bqMYHKB/view?usp=drivesdk")</f>
        <v>https://drive.google.com/file/d/1FcoMparuep2ur5Q45Q1xuP097bqMYHKB/view?usp=drivesdk</v>
      </c>
      <c r="G828" s="7" t="s">
        <v>771</v>
      </c>
      <c r="H828" s="95" t="s">
        <v>3202</v>
      </c>
      <c r="I828" s="10"/>
      <c r="J828" s="8">
        <v>65</v>
      </c>
      <c r="K828" s="8">
        <v>1695</v>
      </c>
      <c r="L828" s="11">
        <v>0.26458333333333328</v>
      </c>
      <c r="M828" s="39" t="s">
        <v>720</v>
      </c>
      <c r="N828" s="43" t="s">
        <v>675</v>
      </c>
      <c r="O828" s="43" t="s">
        <v>721</v>
      </c>
    </row>
    <row r="829" spans="1:15" ht="27" customHeight="1">
      <c r="A829" s="5">
        <v>41182</v>
      </c>
      <c r="B829" s="18" t="s">
        <v>15</v>
      </c>
      <c r="C829" s="34" t="s">
        <v>16</v>
      </c>
      <c r="D829" s="7" t="s">
        <v>766</v>
      </c>
      <c r="E829" s="68" t="s">
        <v>767</v>
      </c>
      <c r="F829" s="85" t="str">
        <f>HYPERLINK("https://drive.google.com/file/d/1nqCymDTT8eOwHc928LZ93oNqfH6H6zi9/view?usp=drivesdk","https://drive.google.com/file/d/1nqCymDTT8eOwHc928LZ93oNqfH6H6zi9/view?usp=drivesdk")</f>
        <v>https://drive.google.com/file/d/1nqCymDTT8eOwHc928LZ93oNqfH6H6zi9/view?usp=drivesdk</v>
      </c>
      <c r="G829" s="7" t="s">
        <v>768</v>
      </c>
      <c r="H829" s="95" t="s">
        <v>3351</v>
      </c>
      <c r="I829" s="10"/>
      <c r="J829" s="8">
        <v>45</v>
      </c>
      <c r="K829" s="8">
        <v>518</v>
      </c>
      <c r="L829" s="11">
        <v>0.23680555555555549</v>
      </c>
      <c r="M829" s="39" t="s">
        <v>22</v>
      </c>
      <c r="N829" s="43" t="s">
        <v>675</v>
      </c>
      <c r="O829" s="43" t="s">
        <v>676</v>
      </c>
    </row>
    <row r="830" spans="1:15" ht="54" customHeight="1">
      <c r="A830" s="5">
        <v>41140</v>
      </c>
      <c r="B830" s="18" t="s">
        <v>15</v>
      </c>
      <c r="C830" s="23" t="s">
        <v>16</v>
      </c>
      <c r="D830" s="7" t="s">
        <v>764</v>
      </c>
      <c r="E830" s="68" t="s">
        <v>765</v>
      </c>
      <c r="F830" s="85" t="str">
        <f>HYPERLINK("https://drive.google.com/file/d/1aqjA6vodWIcdD12d2iErVBhTceyBgx9e/view?usp=drivesdk","https://drive.google.com/file/d/1aqjA6vodWIcdD12d2iErVBhTceyBgx9e/view?usp=drivesdk")</f>
        <v>https://drive.google.com/file/d/1aqjA6vodWIcdD12d2iErVBhTceyBgx9e/view?usp=drivesdk</v>
      </c>
      <c r="G830" s="7" t="s">
        <v>3246</v>
      </c>
      <c r="H830" s="95" t="s">
        <v>3242</v>
      </c>
      <c r="I830" s="10"/>
      <c r="J830" s="8">
        <v>120</v>
      </c>
      <c r="K830" s="8">
        <v>2873</v>
      </c>
      <c r="L830" s="11">
        <v>0.31458333333333333</v>
      </c>
      <c r="M830" s="39" t="s">
        <v>22</v>
      </c>
      <c r="N830" s="43" t="s">
        <v>23</v>
      </c>
      <c r="O830" s="43" t="s">
        <v>136</v>
      </c>
    </row>
    <row r="831" spans="1:15" ht="27" customHeight="1">
      <c r="A831" s="5">
        <v>41134</v>
      </c>
      <c r="B831" s="18" t="s">
        <v>15</v>
      </c>
      <c r="C831" s="23" t="s">
        <v>16</v>
      </c>
      <c r="D831" s="7" t="s">
        <v>241</v>
      </c>
      <c r="E831" s="68" t="s">
        <v>762</v>
      </c>
      <c r="F831" s="85" t="str">
        <f>HYPERLINK("https://drive.google.com/file/d/1ukT--77hqH_RyoWdzkYadGLu6r1FmurW/view?usp=drivesdk","https://drive.google.com/file/d/1ukT--77hqH_RyoWdzkYadGLu6r1FmurW/view?usp=drivesdk")</f>
        <v>https://drive.google.com/file/d/1ukT--77hqH_RyoWdzkYadGLu6r1FmurW/view?usp=drivesdk</v>
      </c>
      <c r="G831" s="7" t="s">
        <v>763</v>
      </c>
      <c r="H831" s="95" t="s">
        <v>3219</v>
      </c>
      <c r="I831" s="70" t="s">
        <v>244</v>
      </c>
      <c r="J831" s="8">
        <v>120</v>
      </c>
      <c r="K831" s="8">
        <v>2506</v>
      </c>
      <c r="L831" s="11">
        <v>0.4</v>
      </c>
      <c r="M831" s="39" t="s">
        <v>720</v>
      </c>
      <c r="N831" s="43" t="s">
        <v>675</v>
      </c>
      <c r="O831" s="43" t="s">
        <v>721</v>
      </c>
    </row>
    <row r="832" spans="1:15" ht="27" customHeight="1">
      <c r="A832" s="5">
        <v>41133</v>
      </c>
      <c r="B832" s="18" t="s">
        <v>15</v>
      </c>
      <c r="C832" s="34" t="s">
        <v>16</v>
      </c>
      <c r="D832" s="7" t="s">
        <v>759</v>
      </c>
      <c r="E832" s="68" t="s">
        <v>760</v>
      </c>
      <c r="F832" s="85" t="str">
        <f>HYPERLINK("https://drive.google.com/file/d/1C87vuP8m49VunTTCV71znL8gMhbKCKa3/view?usp=drivesdk","https://drive.google.com/file/d/1C87vuP8m49VunTTCV71znL8gMhbKCKa3/view?usp=drivesdk")</f>
        <v>https://drive.google.com/file/d/1C87vuP8m49VunTTCV71znL8gMhbKCKa3/view?usp=drivesdk</v>
      </c>
      <c r="G832" s="7" t="s">
        <v>761</v>
      </c>
      <c r="H832" s="73" t="s">
        <v>307</v>
      </c>
      <c r="I832" s="10"/>
      <c r="J832" s="8">
        <v>18</v>
      </c>
      <c r="K832" s="8">
        <v>221</v>
      </c>
      <c r="L832" s="11">
        <v>0.15694444444444439</v>
      </c>
      <c r="M832" s="39" t="s">
        <v>22</v>
      </c>
      <c r="N832" s="43" t="s">
        <v>675</v>
      </c>
      <c r="O832" s="43" t="s">
        <v>676</v>
      </c>
    </row>
    <row r="833" spans="1:15" ht="27" customHeight="1">
      <c r="A833" s="5">
        <v>41132</v>
      </c>
      <c r="B833" s="18" t="s">
        <v>15</v>
      </c>
      <c r="C833" s="23" t="s">
        <v>223</v>
      </c>
      <c r="D833" s="7" t="s">
        <v>730</v>
      </c>
      <c r="E833" s="69"/>
      <c r="G833" s="7" t="s">
        <v>3243</v>
      </c>
      <c r="H833" s="73" t="s">
        <v>249</v>
      </c>
      <c r="I833" s="23"/>
      <c r="J833" s="8">
        <v>35</v>
      </c>
      <c r="K833" s="8"/>
      <c r="L833" s="11"/>
      <c r="M833" s="39" t="s">
        <v>720</v>
      </c>
      <c r="N833" s="43" t="s">
        <v>675</v>
      </c>
      <c r="O833" s="43" t="s">
        <v>721</v>
      </c>
    </row>
    <row r="834" spans="1:15" ht="27">
      <c r="A834" s="5">
        <v>41126</v>
      </c>
      <c r="B834" s="18" t="s">
        <v>15</v>
      </c>
      <c r="C834" s="7" t="s">
        <v>151</v>
      </c>
      <c r="D834" s="7" t="s">
        <v>756</v>
      </c>
      <c r="E834" s="68" t="s">
        <v>757</v>
      </c>
      <c r="F834" s="85" t="str">
        <f>HYPERLINK("https://drive.google.com/file/d/1tsWdinnRaLNI3x5V-fR76stQ7EkYCPW2/view?usp=drivesdk","https://drive.google.com/file/d/1tsWdinnRaLNI3x5V-fR76stQ7EkYCPW2/view?usp=drivesdk")</f>
        <v>https://drive.google.com/file/d/1tsWdinnRaLNI3x5V-fR76stQ7EkYCPW2/view?usp=drivesdk</v>
      </c>
      <c r="G834" s="21" t="s">
        <v>758</v>
      </c>
      <c r="H834" s="95" t="s">
        <v>3202</v>
      </c>
      <c r="I834" s="40"/>
      <c r="J834" s="41">
        <v>98</v>
      </c>
      <c r="K834" s="41">
        <v>2500</v>
      </c>
      <c r="L834" s="46">
        <v>0.31458333333333333</v>
      </c>
      <c r="M834" s="39" t="s">
        <v>22</v>
      </c>
      <c r="N834" s="43" t="s">
        <v>23</v>
      </c>
      <c r="O834" s="43" t="s">
        <v>136</v>
      </c>
    </row>
    <row r="835" spans="1:15" ht="27" customHeight="1">
      <c r="A835" s="5">
        <v>41125</v>
      </c>
      <c r="B835" s="18" t="s">
        <v>15</v>
      </c>
      <c r="C835" s="23" t="s">
        <v>16</v>
      </c>
      <c r="D835" s="21" t="s">
        <v>753</v>
      </c>
      <c r="E835" s="68" t="s">
        <v>754</v>
      </c>
      <c r="F835" s="85" t="str">
        <f>HYPERLINK("https://drive.google.com/file/d/1peQzSzoHEQAGtAndOSNw-x1O3TjB_FLb/view?usp=drivesdk","https://drive.google.com/file/d/1peQzSzoHEQAGtAndOSNw-x1O3TjB_FLb/view?usp=drivesdk")</f>
        <v>https://drive.google.com/file/d/1peQzSzoHEQAGtAndOSNw-x1O3TjB_FLb/view?usp=drivesdk</v>
      </c>
      <c r="G835" s="21" t="s">
        <v>755</v>
      </c>
      <c r="H835" s="95" t="s">
        <v>3242</v>
      </c>
      <c r="I835" s="40"/>
      <c r="J835" s="41">
        <v>56</v>
      </c>
      <c r="K835" s="41">
        <v>1991</v>
      </c>
      <c r="L835" s="46">
        <v>0.18680555555555561</v>
      </c>
      <c r="M835" s="39" t="s">
        <v>22</v>
      </c>
      <c r="N835" s="43" t="s">
        <v>23</v>
      </c>
      <c r="O835" s="43" t="s">
        <v>136</v>
      </c>
    </row>
    <row r="836" spans="1:15" ht="27" customHeight="1">
      <c r="A836" s="5">
        <v>41118</v>
      </c>
      <c r="B836" s="18" t="s">
        <v>15</v>
      </c>
      <c r="C836" s="23" t="s">
        <v>16</v>
      </c>
      <c r="D836" s="7" t="s">
        <v>750</v>
      </c>
      <c r="E836" s="68" t="s">
        <v>751</v>
      </c>
      <c r="F836" s="85" t="str">
        <f>HYPERLINK("https://drive.google.com/file/d/195Sj_-kcCT0eOkcyOg_QlzCKYsr1I1vF/view?usp=drivesdk","https://drive.google.com/file/d/195Sj_-kcCT0eOkcyOg_QlzCKYsr1I1vF/view?usp=drivesdk")</f>
        <v>https://drive.google.com/file/d/195Sj_-kcCT0eOkcyOg_QlzCKYsr1I1vF/view?usp=drivesdk</v>
      </c>
      <c r="G836" s="7" t="s">
        <v>752</v>
      </c>
      <c r="H836" s="95" t="s">
        <v>3352</v>
      </c>
      <c r="I836" s="10"/>
      <c r="J836" s="8">
        <v>182</v>
      </c>
      <c r="K836" s="8">
        <v>2145</v>
      </c>
      <c r="L836" s="11">
        <v>0.44722222222222219</v>
      </c>
      <c r="M836" s="39" t="s">
        <v>22</v>
      </c>
      <c r="N836" s="43" t="s">
        <v>23</v>
      </c>
      <c r="O836" s="43" t="s">
        <v>136</v>
      </c>
    </row>
    <row r="837" spans="1:15" ht="27" customHeight="1">
      <c r="A837" s="5">
        <v>41117</v>
      </c>
      <c r="B837" s="18" t="s">
        <v>15</v>
      </c>
      <c r="C837" s="34" t="s">
        <v>16</v>
      </c>
      <c r="D837" s="7" t="s">
        <v>32</v>
      </c>
      <c r="E837" s="68" t="s">
        <v>749</v>
      </c>
      <c r="F837" s="85" t="str">
        <f>HYPERLINK("https://drive.google.com/file/d/1rETFuSKxUrC5KRLNirxBWIhzInugW92r/view?usp=drivesdk","https://drive.google.com/file/d/1rETFuSKxUrC5KRLNirxBWIhzInugW92r/view?usp=drivesdk")</f>
        <v>https://drive.google.com/file/d/1rETFuSKxUrC5KRLNirxBWIhzInugW92r/view?usp=drivesdk</v>
      </c>
      <c r="G837" s="7" t="s">
        <v>408</v>
      </c>
      <c r="H837" s="95" t="s">
        <v>3208</v>
      </c>
      <c r="I837" s="10"/>
      <c r="J837" s="8">
        <v>64</v>
      </c>
      <c r="K837" s="8">
        <v>820</v>
      </c>
      <c r="L837" s="11">
        <v>0.1986111111111111</v>
      </c>
      <c r="M837" s="39" t="s">
        <v>102</v>
      </c>
      <c r="N837" s="43" t="s">
        <v>194</v>
      </c>
      <c r="O837" s="43" t="s">
        <v>195</v>
      </c>
    </row>
    <row r="838" spans="1:15" ht="13.5">
      <c r="A838" s="5">
        <v>41116</v>
      </c>
      <c r="B838" s="18" t="s">
        <v>15</v>
      </c>
      <c r="C838" s="23" t="s">
        <v>16</v>
      </c>
      <c r="D838" s="21" t="s">
        <v>276</v>
      </c>
      <c r="E838" s="68" t="s">
        <v>748</v>
      </c>
      <c r="F838" s="85" t="str">
        <f>HYPERLINK("https://drive.google.com/file/d/1bWKQn1dtSIt6TrY0ufFxb9uhdfjN1QoU/view?usp=drivesdk","https://drive.google.com/file/d/1bWKQn1dtSIt6TrY0ufFxb9uhdfjN1QoU/view?usp=drivesdk")</f>
        <v>https://drive.google.com/file/d/1bWKQn1dtSIt6TrY0ufFxb9uhdfjN1QoU/view?usp=drivesdk</v>
      </c>
      <c r="G838" s="7" t="s">
        <v>383</v>
      </c>
      <c r="H838" s="95" t="s">
        <v>3202</v>
      </c>
      <c r="I838" s="23" t="s">
        <v>276</v>
      </c>
      <c r="J838" s="41">
        <v>44</v>
      </c>
      <c r="K838" s="41">
        <v>1567</v>
      </c>
      <c r="L838" s="46">
        <v>0.2104166666666667</v>
      </c>
      <c r="M838" s="39" t="s">
        <v>22</v>
      </c>
      <c r="N838" s="43" t="s">
        <v>23</v>
      </c>
      <c r="O838" s="43" t="s">
        <v>136</v>
      </c>
    </row>
    <row r="839" spans="1:15">
      <c r="A839" s="5">
        <v>41115</v>
      </c>
      <c r="B839" s="18" t="s">
        <v>15</v>
      </c>
      <c r="C839" s="23" t="s">
        <v>16</v>
      </c>
      <c r="D839" s="7" t="s">
        <v>746</v>
      </c>
      <c r="E839" s="68" t="s">
        <v>747</v>
      </c>
      <c r="F839" s="85" t="str">
        <f>HYPERLINK("https://drive.google.com/file/d/1vZJVXO3ksNtEEvebAzu5rKWYqDUWb-_p/view?usp=drivesdk","https://drive.google.com/file/d/1vZJVXO3ksNtEEvebAzu5rKWYqDUWb-_p/view?usp=drivesdk")</f>
        <v>https://drive.google.com/file/d/1vZJVXO3ksNtEEvebAzu5rKWYqDUWb-_p/view?usp=drivesdk</v>
      </c>
      <c r="G839" s="7" t="s">
        <v>746</v>
      </c>
      <c r="H839" s="95" t="s">
        <v>3202</v>
      </c>
      <c r="I839" s="40"/>
      <c r="J839" s="41">
        <v>5</v>
      </c>
      <c r="K839" s="41">
        <v>141</v>
      </c>
      <c r="L839" s="46">
        <v>8.1944444444444445E-2</v>
      </c>
      <c r="M839" s="39" t="s">
        <v>22</v>
      </c>
      <c r="N839" s="43" t="s">
        <v>602</v>
      </c>
      <c r="O839" s="43" t="s">
        <v>603</v>
      </c>
    </row>
    <row r="840" spans="1:15" ht="27" customHeight="1">
      <c r="A840" s="5">
        <v>41112</v>
      </c>
      <c r="B840" s="18" t="s">
        <v>15</v>
      </c>
      <c r="C840" s="23" t="s">
        <v>16</v>
      </c>
      <c r="D840" s="7" t="s">
        <v>253</v>
      </c>
      <c r="E840" s="68" t="s">
        <v>745</v>
      </c>
      <c r="F840" s="85" t="str">
        <f>HYPERLINK("https://drive.google.com/file/d/1M_5Y0z4tj3WOf9L08Rv0qhkmffCXBONT/view?usp=drivesdk","https://drive.google.com/file/d/1M_5Y0z4tj3WOf9L08Rv0qhkmffCXBONT/view?usp=drivesdk")</f>
        <v>https://drive.google.com/file/d/1M_5Y0z4tj3WOf9L08Rv0qhkmffCXBONT/view?usp=drivesdk</v>
      </c>
      <c r="G840" s="7" t="s">
        <v>664</v>
      </c>
      <c r="H840" s="95" t="s">
        <v>3352</v>
      </c>
      <c r="I840" s="10"/>
      <c r="J840" s="8">
        <v>168</v>
      </c>
      <c r="K840" s="8">
        <v>1771</v>
      </c>
      <c r="L840" s="11">
        <v>0.3527777777777778</v>
      </c>
      <c r="M840" s="39" t="s">
        <v>22</v>
      </c>
      <c r="N840" s="43" t="s">
        <v>23</v>
      </c>
      <c r="O840" s="43" t="s">
        <v>136</v>
      </c>
    </row>
    <row r="841" spans="1:15" ht="40.5" customHeight="1">
      <c r="A841" s="5">
        <v>41111</v>
      </c>
      <c r="B841" s="18" t="s">
        <v>15</v>
      </c>
      <c r="C841" s="34" t="s">
        <v>16</v>
      </c>
      <c r="D841" s="7" t="s">
        <v>743</v>
      </c>
      <c r="E841" s="68" t="s">
        <v>744</v>
      </c>
      <c r="F841" s="85" t="str">
        <f>HYPERLINK("https://drive.google.com/file/d/1SFWe24g5pKKBRU__Wv80sMI2c0VgBE-D/view?usp=drivesdk","https://drive.google.com/file/d/1SFWe24g5pKKBRU__Wv80sMI2c0VgBE-D/view?usp=drivesdk")</f>
        <v>https://drive.google.com/file/d/1SFWe24g5pKKBRU__Wv80sMI2c0VgBE-D/view?usp=drivesdk</v>
      </c>
      <c r="G841" s="7" t="s">
        <v>743</v>
      </c>
      <c r="H841" s="95" t="s">
        <v>3209</v>
      </c>
      <c r="I841" s="23"/>
      <c r="J841" s="8">
        <v>64</v>
      </c>
      <c r="K841" s="8"/>
      <c r="L841" s="11">
        <v>0.30972222222222218</v>
      </c>
      <c r="M841" s="39" t="s">
        <v>22</v>
      </c>
      <c r="N841" s="43" t="s">
        <v>602</v>
      </c>
      <c r="O841" s="43" t="s">
        <v>603</v>
      </c>
    </row>
    <row r="842" spans="1:15" ht="27" customHeight="1">
      <c r="A842" s="5">
        <v>41030</v>
      </c>
      <c r="B842" s="18" t="s">
        <v>15</v>
      </c>
      <c r="C842" s="34" t="s">
        <v>16</v>
      </c>
      <c r="D842" s="7" t="s">
        <v>741</v>
      </c>
      <c r="E842" s="68" t="s">
        <v>742</v>
      </c>
      <c r="F842" s="85" t="str">
        <f>HYPERLINK("https://drive.google.com/file/d/1jXhhC6gIw9AqNEMQU47dUNCFRn7pNyiW/view?usp=drivesdk","https://drive.google.com/file/d/1jXhhC6gIw9AqNEMQU47dUNCFRn7pNyiW/view?usp=drivesdk")</f>
        <v>https://drive.google.com/file/d/1jXhhC6gIw9AqNEMQU47dUNCFRn7pNyiW/view?usp=drivesdk</v>
      </c>
      <c r="G842" s="7" t="s">
        <v>741</v>
      </c>
      <c r="H842" s="95" t="s">
        <v>3233</v>
      </c>
      <c r="I842" s="10"/>
      <c r="J842" s="8">
        <v>32</v>
      </c>
      <c r="K842" s="8">
        <v>112</v>
      </c>
      <c r="L842" s="11">
        <v>0.12013888888888891</v>
      </c>
      <c r="M842" s="39" t="s">
        <v>22</v>
      </c>
      <c r="N842" s="43" t="s">
        <v>602</v>
      </c>
      <c r="O842" s="43" t="s">
        <v>603</v>
      </c>
    </row>
    <row r="843" spans="1:15" ht="14.25" customHeight="1">
      <c r="A843" s="5">
        <v>41029</v>
      </c>
      <c r="B843" s="18" t="s">
        <v>15</v>
      </c>
      <c r="C843" s="23" t="s">
        <v>16</v>
      </c>
      <c r="D843" s="7" t="s">
        <v>739</v>
      </c>
      <c r="E843" s="68" t="s">
        <v>740</v>
      </c>
      <c r="F843" s="85" t="str">
        <f>HYPERLINK("https://drive.google.com/file/d/1R-q0_du26Lt8mvI-BnroFHiIyph_6Pyl/view?usp=drivesdk","https://drive.google.com/file/d/1R-q0_du26Lt8mvI-BnroFHiIyph_6Pyl/view?usp=drivesdk")</f>
        <v>https://drive.google.com/file/d/1R-q0_du26Lt8mvI-BnroFHiIyph_6Pyl/view?usp=drivesdk</v>
      </c>
      <c r="G843" s="7" t="s">
        <v>3241</v>
      </c>
      <c r="H843" s="95" t="s">
        <v>3209</v>
      </c>
      <c r="I843" s="10"/>
      <c r="J843" s="8">
        <v>121</v>
      </c>
      <c r="K843" s="8">
        <v>1662</v>
      </c>
      <c r="L843" s="11">
        <v>0.29583333333333328</v>
      </c>
      <c r="M843" s="39" t="s">
        <v>22</v>
      </c>
      <c r="N843" s="43" t="s">
        <v>23</v>
      </c>
      <c r="O843" s="43" t="s">
        <v>136</v>
      </c>
    </row>
    <row r="844" spans="1:15" ht="27" customHeight="1">
      <c r="A844" s="5">
        <v>41028</v>
      </c>
      <c r="B844" s="18" t="s">
        <v>15</v>
      </c>
      <c r="C844" s="23" t="s">
        <v>16</v>
      </c>
      <c r="D844" s="7" t="s">
        <v>253</v>
      </c>
      <c r="E844" s="68" t="s">
        <v>737</v>
      </c>
      <c r="F844" s="85" t="str">
        <f>HYPERLINK("https://drive.google.com/file/d/1tGpyOtdMDBh4IcExcVqlxuOmT0uiaMpw/view?usp=drivesdk","https://drive.google.com/file/d/1tGpyOtdMDBh4IcExcVqlxuOmT0uiaMpw/view?usp=drivesdk")</f>
        <v>https://drive.google.com/file/d/1tGpyOtdMDBh4IcExcVqlxuOmT0uiaMpw/view?usp=drivesdk</v>
      </c>
      <c r="G844" s="7" t="s">
        <v>3240</v>
      </c>
      <c r="H844" s="95" t="s">
        <v>3206</v>
      </c>
      <c r="I844" s="10"/>
      <c r="J844" s="8">
        <v>172</v>
      </c>
      <c r="K844" s="8">
        <v>1823</v>
      </c>
      <c r="L844" s="11">
        <v>0.3840277777777778</v>
      </c>
      <c r="M844" s="39" t="s">
        <v>22</v>
      </c>
      <c r="N844" s="43" t="s">
        <v>675</v>
      </c>
      <c r="O844" s="43" t="s">
        <v>676</v>
      </c>
    </row>
    <row r="845" spans="1:15" ht="27" customHeight="1">
      <c r="A845" s="5">
        <v>41027</v>
      </c>
      <c r="B845" s="18" t="s">
        <v>15</v>
      </c>
      <c r="C845" s="34" t="s">
        <v>16</v>
      </c>
      <c r="D845" s="7" t="s">
        <v>734</v>
      </c>
      <c r="E845" s="68" t="s">
        <v>735</v>
      </c>
      <c r="F845" s="85" t="str">
        <f>HYPERLINK("https://drive.google.com/file/d/1vMfGdAtVA9wfAtowysntj3ntXRjhKKPR/view?usp=drivesdk","https://drive.google.com/file/d/1vMfGdAtVA9wfAtowysntj3ntXRjhKKPR/view?usp=drivesdk")</f>
        <v>https://drive.google.com/file/d/1vMfGdAtVA9wfAtowysntj3ntXRjhKKPR/view?usp=drivesdk</v>
      </c>
      <c r="G845" s="7" t="s">
        <v>736</v>
      </c>
      <c r="H845" s="95" t="s">
        <v>3233</v>
      </c>
      <c r="I845" s="13" t="s">
        <v>47</v>
      </c>
      <c r="J845" s="8">
        <v>37</v>
      </c>
      <c r="K845" s="8">
        <v>150</v>
      </c>
      <c r="L845" s="11">
        <v>0.24513888888888891</v>
      </c>
      <c r="M845" s="39" t="s">
        <v>22</v>
      </c>
      <c r="N845" s="43" t="s">
        <v>602</v>
      </c>
      <c r="O845" s="43" t="s">
        <v>603</v>
      </c>
    </row>
    <row r="846" spans="1:15" ht="27" customHeight="1">
      <c r="A846" s="5">
        <v>41000</v>
      </c>
      <c r="B846" s="18" t="s">
        <v>15</v>
      </c>
      <c r="C846" s="23" t="s">
        <v>16</v>
      </c>
      <c r="D846" s="7" t="s">
        <v>731</v>
      </c>
      <c r="E846" s="68" t="s">
        <v>732</v>
      </c>
      <c r="F846" s="85" t="str">
        <f>HYPERLINK("https://drive.google.com/file/d/11HoWH7AXHu3da7qIomT8gLX6Lvz-87RN/view?usp=drivesdk","https://drive.google.com/file/d/11HoWH7AXHu3da7qIomT8gLX6Lvz-87RN/view?usp=drivesdk")</f>
        <v>https://drive.google.com/file/d/11HoWH7AXHu3da7qIomT8gLX6Lvz-87RN/view?usp=drivesdk</v>
      </c>
      <c r="G846" s="7" t="s">
        <v>733</v>
      </c>
      <c r="H846" s="95" t="s">
        <v>3344</v>
      </c>
      <c r="I846" s="10"/>
      <c r="J846" s="8">
        <v>190</v>
      </c>
      <c r="K846" s="8">
        <v>1442</v>
      </c>
      <c r="L846" s="11">
        <v>0.4465277777777778</v>
      </c>
      <c r="M846" s="39" t="s">
        <v>22</v>
      </c>
      <c r="N846" s="43" t="s">
        <v>675</v>
      </c>
      <c r="O846" s="43" t="s">
        <v>676</v>
      </c>
    </row>
    <row r="847" spans="1:15" ht="14.25" customHeight="1">
      <c r="A847" s="5">
        <v>40999</v>
      </c>
      <c r="B847" s="18" t="s">
        <v>15</v>
      </c>
      <c r="C847" s="23" t="s">
        <v>223</v>
      </c>
      <c r="D847" s="7" t="s">
        <v>730</v>
      </c>
      <c r="E847" s="69"/>
      <c r="G847" s="7" t="s">
        <v>727</v>
      </c>
      <c r="H847" s="95" t="s">
        <v>3209</v>
      </c>
      <c r="I847" s="23"/>
      <c r="J847" s="8">
        <v>35</v>
      </c>
      <c r="K847" s="8"/>
      <c r="L847" s="11"/>
      <c r="M847" s="39" t="s">
        <v>720</v>
      </c>
      <c r="N847" s="43" t="s">
        <v>675</v>
      </c>
      <c r="O847" s="43" t="s">
        <v>721</v>
      </c>
    </row>
    <row r="848" spans="1:15" ht="27" customHeight="1">
      <c r="A848" s="5">
        <v>40965</v>
      </c>
      <c r="B848" s="18" t="s">
        <v>15</v>
      </c>
      <c r="C848" s="23" t="s">
        <v>223</v>
      </c>
      <c r="D848" s="7" t="s">
        <v>727</v>
      </c>
      <c r="E848" s="68" t="s">
        <v>728</v>
      </c>
      <c r="F848" s="85" t="str">
        <f>HYPERLINK("https://drive.google.com/file/d/1LhosiHg4tAZU2ZKTroYo8a3mUcydBaff/view?usp=drivesdk","https://drive.google.com/file/d/1LhosiHg4tAZU2ZKTroYo8a3mUcydBaff/view?usp=drivesdk")</f>
        <v>https://drive.google.com/file/d/1LhosiHg4tAZU2ZKTroYo8a3mUcydBaff/view?usp=drivesdk</v>
      </c>
      <c r="G848" s="7" t="s">
        <v>729</v>
      </c>
      <c r="H848" s="95" t="s">
        <v>3353</v>
      </c>
      <c r="I848" s="23"/>
      <c r="J848" s="8">
        <v>51</v>
      </c>
      <c r="K848" s="8"/>
      <c r="L848" s="11">
        <v>0.1986111111111111</v>
      </c>
      <c r="M848" s="39" t="s">
        <v>720</v>
      </c>
      <c r="N848" s="43" t="s">
        <v>675</v>
      </c>
      <c r="O848" s="43" t="s">
        <v>721</v>
      </c>
    </row>
    <row r="849" spans="1:15" ht="27" customHeight="1">
      <c r="A849" s="5">
        <v>40958</v>
      </c>
      <c r="B849" s="18" t="s">
        <v>15</v>
      </c>
      <c r="C849" s="34" t="s">
        <v>16</v>
      </c>
      <c r="D849" s="7" t="s">
        <v>32</v>
      </c>
      <c r="E849" s="68" t="s">
        <v>725</v>
      </c>
      <c r="F849" s="85" t="str">
        <f>HYPERLINK("https://drive.google.com/file/d/1mEc0oxPSV2BqQPFmkMVxQl-iU-jHewtw/view?usp=drivesdk","https://drive.google.com/file/d/1mEc0oxPSV2BqQPFmkMVxQl-iU-jHewtw/view?usp=drivesdk")</f>
        <v>https://drive.google.com/file/d/1mEc0oxPSV2BqQPFmkMVxQl-iU-jHewtw/view?usp=drivesdk</v>
      </c>
      <c r="G849" s="7" t="s">
        <v>726</v>
      </c>
      <c r="H849" s="95" t="s">
        <v>3208</v>
      </c>
      <c r="I849" s="10"/>
      <c r="J849" s="8">
        <v>45</v>
      </c>
      <c r="K849" s="8"/>
      <c r="L849" s="11">
        <v>0.2381944444444444</v>
      </c>
      <c r="M849" s="39" t="s">
        <v>102</v>
      </c>
      <c r="N849" s="43" t="s">
        <v>194</v>
      </c>
      <c r="O849" s="43" t="s">
        <v>195</v>
      </c>
    </row>
    <row r="850" spans="1:15" ht="27">
      <c r="A850" s="5">
        <v>40937</v>
      </c>
      <c r="B850" s="18" t="s">
        <v>15</v>
      </c>
      <c r="C850" s="34" t="s">
        <v>16</v>
      </c>
      <c r="D850" s="7" t="s">
        <v>722</v>
      </c>
      <c r="E850" s="68" t="s">
        <v>723</v>
      </c>
      <c r="F850" s="85" t="str">
        <f>HYPERLINK("https://drive.google.com/file/d/1OEa8UJVdj8Dhys4nelUU9-T0CI5jdtli/view?usp=drivesdk","https://drive.google.com/file/d/1OEa8UJVdj8Dhys4nelUU9-T0CI5jdtli/view?usp=drivesdk")</f>
        <v>https://drive.google.com/file/d/1OEa8UJVdj8Dhys4nelUU9-T0CI5jdtli/view?usp=drivesdk</v>
      </c>
      <c r="G850" s="7" t="s">
        <v>724</v>
      </c>
      <c r="H850" s="95" t="s">
        <v>3193</v>
      </c>
      <c r="I850" s="10"/>
      <c r="J850" s="8">
        <v>56</v>
      </c>
      <c r="K850" s="8"/>
      <c r="L850" s="11">
        <v>0.38611111111111113</v>
      </c>
      <c r="M850" s="39" t="s">
        <v>22</v>
      </c>
      <c r="N850" s="43" t="s">
        <v>23</v>
      </c>
      <c r="O850" s="43" t="s">
        <v>24</v>
      </c>
    </row>
    <row r="851" spans="1:15" ht="14.25" customHeight="1">
      <c r="A851" s="5">
        <v>40930</v>
      </c>
      <c r="B851" s="18" t="s">
        <v>15</v>
      </c>
      <c r="C851" s="34" t="s">
        <v>16</v>
      </c>
      <c r="D851" s="7" t="s">
        <v>190</v>
      </c>
      <c r="E851" s="69"/>
      <c r="G851" s="7" t="s">
        <v>190</v>
      </c>
      <c r="H851" s="95" t="s">
        <v>3208</v>
      </c>
      <c r="I851" s="10"/>
      <c r="J851" s="8">
        <v>25</v>
      </c>
      <c r="K851" s="8"/>
      <c r="L851" s="11"/>
      <c r="M851" s="39" t="s">
        <v>720</v>
      </c>
      <c r="N851" s="43" t="s">
        <v>675</v>
      </c>
      <c r="O851" s="43" t="s">
        <v>721</v>
      </c>
    </row>
    <row r="852" spans="1:15">
      <c r="A852" s="5">
        <v>40917</v>
      </c>
      <c r="B852" s="18" t="s">
        <v>15</v>
      </c>
      <c r="C852" s="34" t="s">
        <v>16</v>
      </c>
      <c r="D852" s="7" t="s">
        <v>717</v>
      </c>
      <c r="E852" s="68" t="s">
        <v>718</v>
      </c>
      <c r="F852" s="85" t="str">
        <f>HYPERLINK("https://drive.google.com/file/d/1_QBkFpnxYzi5pKiC9tgPJypXypHZ2JkI/view?usp=drivesdk","https://drive.google.com/file/d/1_QBkFpnxYzi5pKiC9tgPJypXypHZ2JkI/view?usp=drivesdk")</f>
        <v>https://drive.google.com/file/d/1_QBkFpnxYzi5pKiC9tgPJypXypHZ2JkI/view?usp=drivesdk</v>
      </c>
      <c r="G852" s="7" t="s">
        <v>719</v>
      </c>
      <c r="H852" s="95" t="s">
        <v>3208</v>
      </c>
      <c r="I852" s="10"/>
      <c r="J852" s="8">
        <v>100</v>
      </c>
      <c r="K852" s="8"/>
      <c r="L852" s="11">
        <v>0.28680555555555548</v>
      </c>
      <c r="M852" s="39" t="s">
        <v>22</v>
      </c>
      <c r="N852" s="43" t="s">
        <v>675</v>
      </c>
      <c r="O852" s="43" t="s">
        <v>676</v>
      </c>
    </row>
    <row r="853" spans="1:15" ht="27" customHeight="1">
      <c r="A853" s="5">
        <v>40915</v>
      </c>
      <c r="B853" s="18" t="s">
        <v>15</v>
      </c>
      <c r="C853" s="34" t="s">
        <v>16</v>
      </c>
      <c r="D853" s="7" t="s">
        <v>715</v>
      </c>
      <c r="E853" s="68" t="s">
        <v>716</v>
      </c>
      <c r="F853" s="85" t="str">
        <f>HYPERLINK("https://drive.google.com/file/d/1SAmBSrWKv2eJ0UAy4ShUVq1O5ODmvcQ_/view?usp=drivesdk","https://drive.google.com/file/d/1SAmBSrWKv2eJ0UAy4ShUVq1O5ODmvcQ_/view?usp=drivesdk")</f>
        <v>https://drive.google.com/file/d/1SAmBSrWKv2eJ0UAy4ShUVq1O5ODmvcQ_/view?usp=drivesdk</v>
      </c>
      <c r="G853" s="7" t="s">
        <v>715</v>
      </c>
      <c r="H853" s="95" t="s">
        <v>3209</v>
      </c>
      <c r="I853" s="10"/>
      <c r="J853" s="8">
        <v>88</v>
      </c>
      <c r="K853" s="8">
        <v>116</v>
      </c>
      <c r="L853" s="11">
        <v>0.20624999999999999</v>
      </c>
      <c r="M853" s="39" t="s">
        <v>22</v>
      </c>
      <c r="N853" s="43" t="s">
        <v>23</v>
      </c>
      <c r="O853" s="43" t="s">
        <v>136</v>
      </c>
    </row>
    <row r="854" spans="1:15" ht="27" customHeight="1">
      <c r="A854" s="5">
        <v>40895</v>
      </c>
      <c r="B854" s="18" t="s">
        <v>15</v>
      </c>
      <c r="C854" s="23" t="s">
        <v>16</v>
      </c>
      <c r="D854" s="7" t="s">
        <v>277</v>
      </c>
      <c r="E854" s="68" t="s">
        <v>714</v>
      </c>
      <c r="F854" s="85" t="str">
        <f>HYPERLINK("https://drive.google.com/file/d/1QeAvtzZCeXzdWN9GFZLAVsOLcQs6F75q/view?usp=drivesdk","https://drive.google.com/file/d/1QeAvtzZCeXzdWN9GFZLAVsOLcQs6F75q/view?usp=drivesdk")</f>
        <v>https://drive.google.com/file/d/1QeAvtzZCeXzdWN9GFZLAVsOLcQs6F75q/view?usp=drivesdk</v>
      </c>
      <c r="G854" s="7" t="s">
        <v>277</v>
      </c>
      <c r="H854" s="95" t="s">
        <v>3351</v>
      </c>
      <c r="I854" s="15" t="s">
        <v>404</v>
      </c>
      <c r="J854" s="8">
        <v>131</v>
      </c>
      <c r="K854" s="8">
        <v>753</v>
      </c>
      <c r="L854" s="11">
        <v>0.33333333333333331</v>
      </c>
      <c r="M854" s="39" t="s">
        <v>22</v>
      </c>
      <c r="N854" s="43" t="s">
        <v>675</v>
      </c>
      <c r="O854" s="43" t="s">
        <v>676</v>
      </c>
    </row>
    <row r="855" spans="1:15" ht="27" customHeight="1">
      <c r="A855" s="5">
        <v>40888</v>
      </c>
      <c r="B855" s="18" t="s">
        <v>15</v>
      </c>
      <c r="C855" s="34" t="s">
        <v>16</v>
      </c>
      <c r="D855" s="7" t="s">
        <v>32</v>
      </c>
      <c r="E855" s="69"/>
      <c r="G855" s="7" t="s">
        <v>605</v>
      </c>
      <c r="H855" s="73" t="s">
        <v>3208</v>
      </c>
      <c r="I855" s="15" t="s">
        <v>404</v>
      </c>
      <c r="J855" s="8">
        <v>75</v>
      </c>
      <c r="K855" s="8"/>
      <c r="L855" s="11"/>
      <c r="M855" s="39" t="s">
        <v>22</v>
      </c>
      <c r="N855" s="43" t="s">
        <v>675</v>
      </c>
      <c r="O855" s="43" t="s">
        <v>676</v>
      </c>
    </row>
    <row r="856" spans="1:15">
      <c r="A856" s="5">
        <v>40870</v>
      </c>
      <c r="B856" s="18" t="s">
        <v>15</v>
      </c>
      <c r="C856" s="34" t="s">
        <v>16</v>
      </c>
      <c r="D856" s="7" t="s">
        <v>32</v>
      </c>
      <c r="E856" s="69"/>
      <c r="G856" s="7" t="s">
        <v>713</v>
      </c>
      <c r="H856" s="73" t="s">
        <v>3208</v>
      </c>
      <c r="I856" s="15" t="s">
        <v>404</v>
      </c>
      <c r="J856" s="8">
        <v>75</v>
      </c>
      <c r="K856" s="8"/>
      <c r="L856" s="11"/>
      <c r="M856" s="39" t="s">
        <v>22</v>
      </c>
      <c r="N856" s="43" t="s">
        <v>675</v>
      </c>
      <c r="O856" s="43" t="s">
        <v>676</v>
      </c>
    </row>
    <row r="857" spans="1:15">
      <c r="A857" s="5">
        <v>40867</v>
      </c>
      <c r="B857" s="18" t="s">
        <v>15</v>
      </c>
      <c r="C857" s="34" t="s">
        <v>16</v>
      </c>
      <c r="D857" s="7" t="s">
        <v>710</v>
      </c>
      <c r="E857" s="68" t="s">
        <v>711</v>
      </c>
      <c r="F857" s="85" t="str">
        <f>HYPERLINK("https://drive.google.com/file/d/17pV0TZIXs6dscNPX7UWf66cRWL2uv1VO/view?usp=drivesdk","https://drive.google.com/file/d/17pV0TZIXs6dscNPX7UWf66cRWL2uv1VO/view?usp=drivesdk")</f>
        <v>https://drive.google.com/file/d/17pV0TZIXs6dscNPX7UWf66cRWL2uv1VO/view?usp=drivesdk</v>
      </c>
      <c r="G857" s="7" t="s">
        <v>712</v>
      </c>
      <c r="H857" s="95" t="s">
        <v>3203</v>
      </c>
      <c r="I857" s="15" t="s">
        <v>404</v>
      </c>
      <c r="J857" s="8">
        <v>45</v>
      </c>
      <c r="K857" s="8">
        <v>1063</v>
      </c>
      <c r="L857" s="11">
        <v>0.35138888888888892</v>
      </c>
      <c r="M857" s="39" t="s">
        <v>22</v>
      </c>
      <c r="N857" s="43" t="s">
        <v>602</v>
      </c>
      <c r="O857" s="43" t="s">
        <v>603</v>
      </c>
    </row>
    <row r="858" spans="1:15">
      <c r="A858" s="5">
        <v>40860</v>
      </c>
      <c r="B858" s="18" t="s">
        <v>15</v>
      </c>
      <c r="C858" s="34" t="s">
        <v>16</v>
      </c>
      <c r="D858" s="7" t="s">
        <v>707</v>
      </c>
      <c r="E858" s="68" t="s">
        <v>708</v>
      </c>
      <c r="F858" s="85" t="str">
        <f>HYPERLINK("https://drive.google.com/file/d/13JuQcKsOdNaczn0oJeKlo84cIKGCEAfO/view?usp=drivesdk","https://drive.google.com/file/d/13JuQcKsOdNaczn0oJeKlo84cIKGCEAfO/view?usp=drivesdk")</f>
        <v>https://drive.google.com/file/d/13JuQcKsOdNaczn0oJeKlo84cIKGCEAfO/view?usp=drivesdk</v>
      </c>
      <c r="G858" s="7" t="s">
        <v>709</v>
      </c>
      <c r="H858" s="95" t="s">
        <v>3239</v>
      </c>
      <c r="I858" s="15" t="s">
        <v>404</v>
      </c>
      <c r="J858" s="8">
        <v>59</v>
      </c>
      <c r="K858" s="8">
        <v>1119</v>
      </c>
      <c r="L858" s="11">
        <v>0.29166666666666669</v>
      </c>
      <c r="M858" s="39" t="s">
        <v>102</v>
      </c>
      <c r="N858" s="43" t="s">
        <v>194</v>
      </c>
      <c r="O858" s="43" t="s">
        <v>195</v>
      </c>
    </row>
    <row r="859" spans="1:15" ht="27" customHeight="1">
      <c r="A859" s="5">
        <v>40843</v>
      </c>
      <c r="B859" s="18" t="s">
        <v>15</v>
      </c>
      <c r="C859" s="34" t="s">
        <v>16</v>
      </c>
      <c r="D859" s="7" t="s">
        <v>706</v>
      </c>
      <c r="E859" s="68"/>
      <c r="F859" s="85" t="str">
        <f>HYPERLINK("https://drive.google.com/file/d/1btsJKp3Gb6CEYRzMhKCbNF3WjZv13muP/view?usp=drivesdk","https://drive.google.com/file/d/1btsJKp3Gb6CEYRzMhKCbNF3WjZv13muP/view?usp=drivesdk")</f>
        <v>https://drive.google.com/file/d/1btsJKp3Gb6CEYRzMhKCbNF3WjZv13muP/view?usp=drivesdk</v>
      </c>
      <c r="G859" s="7" t="s">
        <v>706</v>
      </c>
      <c r="H859" s="95" t="s">
        <v>3202</v>
      </c>
      <c r="I859" s="40"/>
      <c r="J859" s="41">
        <v>25</v>
      </c>
      <c r="K859" s="41"/>
      <c r="L859" s="46">
        <v>0.21180555555555561</v>
      </c>
      <c r="M859" s="39" t="s">
        <v>22</v>
      </c>
      <c r="N859" s="43" t="s">
        <v>675</v>
      </c>
      <c r="O859" s="43" t="s">
        <v>676</v>
      </c>
    </row>
    <row r="860" spans="1:15" ht="27" customHeight="1">
      <c r="A860" s="5">
        <v>40839</v>
      </c>
      <c r="B860" s="18" t="s">
        <v>15</v>
      </c>
      <c r="C860" s="34" t="s">
        <v>16</v>
      </c>
      <c r="D860" s="7" t="s">
        <v>704</v>
      </c>
      <c r="E860" s="68" t="s">
        <v>705</v>
      </c>
      <c r="F860" s="85" t="str">
        <f>HYPERLINK("https://drive.google.com/file/d/1cdHh39qzyVKeo11Saoxcb78thliAw2XE/view?usp=drivesdk","https://drive.google.com/file/d/1cdHh39qzyVKeo11Saoxcb78thliAw2XE/view?usp=drivesdk")</f>
        <v>https://drive.google.com/file/d/1cdHh39qzyVKeo11Saoxcb78thliAw2XE/view?usp=drivesdk</v>
      </c>
      <c r="G860" s="7"/>
      <c r="H860" s="95" t="s">
        <v>3196</v>
      </c>
      <c r="I860" s="10"/>
      <c r="J860" s="8">
        <v>20</v>
      </c>
      <c r="K860" s="8"/>
      <c r="L860" s="11">
        <v>0.19444444444444439</v>
      </c>
      <c r="M860" s="39" t="s">
        <v>22</v>
      </c>
      <c r="N860" s="43" t="s">
        <v>675</v>
      </c>
      <c r="O860" s="43" t="s">
        <v>676</v>
      </c>
    </row>
    <row r="861" spans="1:15" ht="27">
      <c r="A861" s="5">
        <v>40826</v>
      </c>
      <c r="B861" s="18" t="s">
        <v>15</v>
      </c>
      <c r="C861" s="23" t="s">
        <v>16</v>
      </c>
      <c r="D861" s="7" t="s">
        <v>701</v>
      </c>
      <c r="E861" s="68" t="s">
        <v>702</v>
      </c>
      <c r="F861" s="85" t="str">
        <f>HYPERLINK("https://drive.google.com/file/d/1F7xsIU95yUXcdFHZb24llldwwdm38d9d/view?usp=drivesdk","https://drive.google.com/file/d/1F7xsIU95yUXcdFHZb24llldwwdm38d9d/view?usp=drivesdk")</f>
        <v>https://drive.google.com/file/d/1F7xsIU95yUXcdFHZb24llldwwdm38d9d/view?usp=drivesdk</v>
      </c>
      <c r="G861" s="7" t="s">
        <v>703</v>
      </c>
      <c r="H861" s="95" t="s">
        <v>3238</v>
      </c>
      <c r="I861" s="10"/>
      <c r="J861" s="8">
        <v>112</v>
      </c>
      <c r="K861" s="8">
        <v>2814</v>
      </c>
      <c r="L861" s="11">
        <v>0.34513888888888888</v>
      </c>
      <c r="M861" s="39" t="s">
        <v>22</v>
      </c>
      <c r="N861" s="43" t="s">
        <v>675</v>
      </c>
      <c r="O861" s="43" t="s">
        <v>676</v>
      </c>
    </row>
    <row r="862" spans="1:15" ht="27">
      <c r="A862" s="5">
        <v>40824</v>
      </c>
      <c r="B862" s="18" t="s">
        <v>15</v>
      </c>
      <c r="C862" s="34" t="s">
        <v>16</v>
      </c>
      <c r="D862" s="7" t="s">
        <v>698</v>
      </c>
      <c r="E862" s="68" t="s">
        <v>699</v>
      </c>
      <c r="F862" s="85" t="str">
        <f>HYPERLINK("https://drive.google.com/file/d/1yn52AVq6rllZoRPXzreWFwQJErN5O33x/view?usp=drivesdk","https://drive.google.com/file/d/1yn52AVq6rllZoRPXzreWFwQJErN5O33x/view?usp=drivesdk")</f>
        <v>https://drive.google.com/file/d/1yn52AVq6rllZoRPXzreWFwQJErN5O33x/view?usp=drivesdk</v>
      </c>
      <c r="G862" s="7" t="s">
        <v>700</v>
      </c>
      <c r="H862" s="95" t="s">
        <v>3193</v>
      </c>
      <c r="I862" s="10"/>
      <c r="J862" s="8">
        <v>51</v>
      </c>
      <c r="K862" s="8">
        <v>1621</v>
      </c>
      <c r="L862" s="11">
        <v>0.3034722222222222</v>
      </c>
      <c r="M862" s="39" t="s">
        <v>22</v>
      </c>
      <c r="N862" s="43" t="s">
        <v>675</v>
      </c>
      <c r="O862" s="43" t="s">
        <v>676</v>
      </c>
    </row>
    <row r="863" spans="1:15" ht="27" customHeight="1">
      <c r="A863" s="5">
        <v>40818</v>
      </c>
      <c r="B863" s="18" t="s">
        <v>15</v>
      </c>
      <c r="C863" s="34" t="s">
        <v>16</v>
      </c>
      <c r="D863" s="7" t="s">
        <v>32</v>
      </c>
      <c r="E863" s="69"/>
      <c r="G863" s="7" t="s">
        <v>697</v>
      </c>
      <c r="H863" s="95" t="s">
        <v>3208</v>
      </c>
      <c r="I863" s="10"/>
      <c r="J863" s="8">
        <v>70</v>
      </c>
      <c r="K863" s="8"/>
      <c r="L863" s="11"/>
      <c r="M863" s="39" t="s">
        <v>22</v>
      </c>
      <c r="N863" s="43" t="s">
        <v>602</v>
      </c>
      <c r="O863" s="43" t="s">
        <v>603</v>
      </c>
    </row>
    <row r="864" spans="1:15" ht="27" customHeight="1">
      <c r="A864" s="5">
        <v>40817</v>
      </c>
      <c r="B864" s="18" t="s">
        <v>15</v>
      </c>
      <c r="C864" s="34" t="s">
        <v>16</v>
      </c>
      <c r="D864" s="7" t="s">
        <v>694</v>
      </c>
      <c r="E864" s="68" t="s">
        <v>695</v>
      </c>
      <c r="F864" s="85" t="str">
        <f>HYPERLINK("https://drive.google.com/file/d/1n_oLPC8myZMj570xs5Kqba3j4XXSVjNN/view?usp=drivesdk","https://drive.google.com/file/d/1n_oLPC8myZMj570xs5Kqba3j4XXSVjNN/view?usp=drivesdk")</f>
        <v>https://drive.google.com/file/d/1n_oLPC8myZMj570xs5Kqba3j4XXSVjNN/view?usp=drivesdk</v>
      </c>
      <c r="G864" s="7" t="s">
        <v>696</v>
      </c>
      <c r="H864" s="95" t="s">
        <v>3193</v>
      </c>
      <c r="I864" s="10"/>
      <c r="J864" s="8">
        <v>57</v>
      </c>
      <c r="K864" s="8">
        <v>877</v>
      </c>
      <c r="L864" s="11">
        <v>0.27152777777777781</v>
      </c>
      <c r="M864" s="39" t="s">
        <v>22</v>
      </c>
      <c r="N864" s="43" t="s">
        <v>602</v>
      </c>
      <c r="O864" s="43" t="s">
        <v>603</v>
      </c>
    </row>
    <row r="865" spans="1:15" ht="27" customHeight="1">
      <c r="A865" s="5">
        <v>40811</v>
      </c>
      <c r="B865" s="18" t="s">
        <v>15</v>
      </c>
      <c r="C865" s="34" t="s">
        <v>16</v>
      </c>
      <c r="D865" s="7" t="s">
        <v>691</v>
      </c>
      <c r="E865" s="68" t="s">
        <v>692</v>
      </c>
      <c r="F865" s="85" t="str">
        <f>HYPERLINK("https://drive.google.com/file/d/1HKBq__f2-oMwNYtjmB-p0kk3rW-FwhQk/view?usp=drivesdk","https://drive.google.com/file/d/1HKBq__f2-oMwNYtjmB-p0kk3rW-FwhQk/view?usp=drivesdk")</f>
        <v>https://drive.google.com/file/d/1HKBq__f2-oMwNYtjmB-p0kk3rW-FwhQk/view?usp=drivesdk</v>
      </c>
      <c r="G865" s="7" t="s">
        <v>693</v>
      </c>
      <c r="H865" s="95" t="s">
        <v>3351</v>
      </c>
      <c r="I865" s="10"/>
      <c r="J865" s="8">
        <v>107</v>
      </c>
      <c r="K865" s="8"/>
      <c r="L865" s="11">
        <v>0.41944444444444451</v>
      </c>
      <c r="M865" s="39" t="s">
        <v>102</v>
      </c>
      <c r="N865" s="43" t="s">
        <v>194</v>
      </c>
      <c r="O865" s="43" t="s">
        <v>195</v>
      </c>
    </row>
    <row r="866" spans="1:15" ht="27" customHeight="1">
      <c r="A866" s="5">
        <v>40809</v>
      </c>
      <c r="B866" s="18" t="s">
        <v>15</v>
      </c>
      <c r="C866" s="23" t="s">
        <v>16</v>
      </c>
      <c r="D866" s="7" t="s">
        <v>277</v>
      </c>
      <c r="E866" s="68" t="s">
        <v>690</v>
      </c>
      <c r="F866" s="85" t="str">
        <f>HYPERLINK("https://drive.google.com/file/d/1zVk6zuM32rntdVnQ_37X12C-qJQlwv6H/view?usp=drivesdk","https://drive.google.com/file/d/1zVk6zuM32rntdVnQ_37X12C-qJQlwv6H/view?usp=drivesdk")</f>
        <v>https://drive.google.com/file/d/1zVk6zuM32rntdVnQ_37X12C-qJQlwv6H/view?usp=drivesdk</v>
      </c>
      <c r="G866" s="7" t="s">
        <v>277</v>
      </c>
      <c r="H866" s="95" t="s">
        <v>3351</v>
      </c>
      <c r="I866" s="10"/>
      <c r="J866" s="8">
        <v>124</v>
      </c>
      <c r="K866" s="8"/>
      <c r="L866" s="11">
        <v>0.30625000000000002</v>
      </c>
      <c r="M866" s="39" t="s">
        <v>22</v>
      </c>
      <c r="N866" s="43" t="s">
        <v>675</v>
      </c>
      <c r="O866" s="43" t="s">
        <v>676</v>
      </c>
    </row>
    <row r="867" spans="1:15" ht="27" customHeight="1">
      <c r="A867" s="5">
        <v>40804</v>
      </c>
      <c r="B867" s="18" t="s">
        <v>15</v>
      </c>
      <c r="C867" s="34" t="s">
        <v>16</v>
      </c>
      <c r="D867" s="7" t="s">
        <v>687</v>
      </c>
      <c r="E867" s="68" t="s">
        <v>688</v>
      </c>
      <c r="F867" s="85" t="str">
        <f>HYPERLINK("https://drive.google.com/file/d/1Hi1HzmFsDwguakbY1dsW8JC3Z3cQKw-5/view?usp=drivesdk","https://drive.google.com/file/d/1Hi1HzmFsDwguakbY1dsW8JC3Z3cQKw-5/view?usp=drivesdk")</f>
        <v>https://drive.google.com/file/d/1Hi1HzmFsDwguakbY1dsW8JC3Z3cQKw-5/view?usp=drivesdk</v>
      </c>
      <c r="G867" s="7" t="s">
        <v>689</v>
      </c>
      <c r="H867" s="95" t="s">
        <v>3193</v>
      </c>
      <c r="I867" s="10"/>
      <c r="J867" s="8">
        <v>30</v>
      </c>
      <c r="K867" s="8">
        <v>199</v>
      </c>
      <c r="L867" s="11">
        <v>0.22569444444444439</v>
      </c>
      <c r="M867" s="39" t="s">
        <v>22</v>
      </c>
      <c r="N867" s="43" t="s">
        <v>602</v>
      </c>
      <c r="O867" s="43" t="s">
        <v>603</v>
      </c>
    </row>
    <row r="868" spans="1:15" ht="27" customHeight="1">
      <c r="A868" s="5">
        <v>40797</v>
      </c>
      <c r="B868" s="18" t="s">
        <v>15</v>
      </c>
      <c r="C868" s="34" t="s">
        <v>16</v>
      </c>
      <c r="D868" s="7" t="s">
        <v>685</v>
      </c>
      <c r="E868" s="68"/>
      <c r="G868" s="7" t="s">
        <v>686</v>
      </c>
      <c r="H868" s="95" t="s">
        <v>3215</v>
      </c>
      <c r="I868" s="10"/>
      <c r="J868" s="8">
        <v>30</v>
      </c>
      <c r="K868" s="8"/>
      <c r="L868" s="11"/>
      <c r="M868" s="39" t="s">
        <v>330</v>
      </c>
      <c r="N868" s="43" t="s">
        <v>331</v>
      </c>
      <c r="O868" s="43" t="s">
        <v>332</v>
      </c>
    </row>
    <row r="869" spans="1:15">
      <c r="A869" s="5">
        <v>40790</v>
      </c>
      <c r="B869" s="18" t="s">
        <v>15</v>
      </c>
      <c r="C869" s="34" t="s">
        <v>16</v>
      </c>
      <c r="D869" s="7" t="s">
        <v>32</v>
      </c>
      <c r="E869" s="69"/>
      <c r="G869" s="7" t="s">
        <v>684</v>
      </c>
      <c r="H869" s="73" t="s">
        <v>3208</v>
      </c>
      <c r="I869" s="10"/>
      <c r="J869" s="8">
        <v>70</v>
      </c>
      <c r="K869" s="8"/>
      <c r="L869" s="11"/>
      <c r="M869" s="39" t="s">
        <v>22</v>
      </c>
      <c r="N869" s="43" t="s">
        <v>602</v>
      </c>
      <c r="O869" s="43" t="s">
        <v>603</v>
      </c>
    </row>
    <row r="870" spans="1:15" ht="27" customHeight="1">
      <c r="A870" s="5">
        <v>40774</v>
      </c>
      <c r="B870" s="18" t="s">
        <v>15</v>
      </c>
      <c r="C870" s="34" t="s">
        <v>16</v>
      </c>
      <c r="D870" s="7" t="s">
        <v>682</v>
      </c>
      <c r="E870" s="69"/>
      <c r="G870" s="7" t="s">
        <v>683</v>
      </c>
      <c r="H870" s="95" t="s">
        <v>3193</v>
      </c>
      <c r="I870" s="10"/>
      <c r="J870" s="8">
        <v>70</v>
      </c>
      <c r="K870" s="8"/>
      <c r="L870" s="11"/>
      <c r="M870" s="39" t="s">
        <v>22</v>
      </c>
      <c r="N870" s="43" t="s">
        <v>675</v>
      </c>
      <c r="O870" s="43" t="s">
        <v>676</v>
      </c>
    </row>
    <row r="871" spans="1:15" ht="18.75">
      <c r="A871" s="5">
        <v>40773</v>
      </c>
      <c r="B871" s="18" t="s">
        <v>15</v>
      </c>
      <c r="C871" s="34" t="s">
        <v>16</v>
      </c>
      <c r="D871" s="7" t="s">
        <v>27</v>
      </c>
      <c r="E871" s="69"/>
      <c r="G871" s="7" t="s">
        <v>346</v>
      </c>
      <c r="H871" s="73" t="s">
        <v>222</v>
      </c>
      <c r="I871" s="81" t="s">
        <v>29</v>
      </c>
      <c r="J871" s="8">
        <v>50</v>
      </c>
      <c r="K871" s="8"/>
      <c r="L871" s="11"/>
      <c r="M871" s="39" t="s">
        <v>22</v>
      </c>
      <c r="N871" s="43" t="s">
        <v>675</v>
      </c>
      <c r="O871" s="43" t="s">
        <v>676</v>
      </c>
    </row>
    <row r="872" spans="1:15" ht="27" customHeight="1">
      <c r="A872" s="5">
        <v>40772</v>
      </c>
      <c r="B872" s="18" t="s">
        <v>15</v>
      </c>
      <c r="C872" s="23" t="s">
        <v>16</v>
      </c>
      <c r="D872" s="7" t="s">
        <v>680</v>
      </c>
      <c r="E872" s="69"/>
      <c r="G872" s="7" t="s">
        <v>681</v>
      </c>
      <c r="H872" s="95" t="s">
        <v>3203</v>
      </c>
      <c r="I872" s="10"/>
      <c r="J872" s="8">
        <v>60</v>
      </c>
      <c r="K872" s="8"/>
      <c r="L872" s="11"/>
      <c r="M872" s="39" t="s">
        <v>22</v>
      </c>
      <c r="N872" s="43" t="s">
        <v>602</v>
      </c>
      <c r="O872" s="43" t="s">
        <v>603</v>
      </c>
    </row>
    <row r="873" spans="1:15" ht="27" customHeight="1">
      <c r="A873" s="5">
        <v>40762</v>
      </c>
      <c r="B873" s="18" t="s">
        <v>15</v>
      </c>
      <c r="C873" s="23" t="s">
        <v>16</v>
      </c>
      <c r="D873" s="7" t="s">
        <v>677</v>
      </c>
      <c r="E873" s="68" t="s">
        <v>678</v>
      </c>
      <c r="F873" s="85" t="str">
        <f>HYPERLINK("https://drive.google.com/file/d/1tLsfQAFr42Yzv0Zg8bc7cEmiv8vDrtf2/view?usp=drivesdk","https://drive.google.com/file/d/1tLsfQAFr42Yzv0Zg8bc7cEmiv8vDrtf2/view?usp=drivesdk")</f>
        <v>https://drive.google.com/file/d/1tLsfQAFr42Yzv0Zg8bc7cEmiv8vDrtf2/view?usp=drivesdk</v>
      </c>
      <c r="G873" s="7" t="s">
        <v>679</v>
      </c>
      <c r="H873" s="95" t="s">
        <v>3352</v>
      </c>
      <c r="I873" s="10"/>
      <c r="J873" s="8">
        <v>186</v>
      </c>
      <c r="K873" s="8">
        <v>2100</v>
      </c>
      <c r="L873" s="54">
        <v>0.41597222222222219</v>
      </c>
      <c r="M873" s="39" t="s">
        <v>22</v>
      </c>
      <c r="N873" s="43" t="s">
        <v>675</v>
      </c>
      <c r="O873" s="43" t="s">
        <v>676</v>
      </c>
    </row>
    <row r="874" spans="1:15">
      <c r="A874" s="5">
        <v>40748</v>
      </c>
      <c r="B874" s="18" t="s">
        <v>15</v>
      </c>
      <c r="C874" s="23" t="s">
        <v>16</v>
      </c>
      <c r="D874" s="7" t="s">
        <v>253</v>
      </c>
      <c r="E874" s="68" t="s">
        <v>673</v>
      </c>
      <c r="F874" s="85" t="str">
        <f>HYPERLINK("https://drive.google.com/file/d/1sJVNHoqXZVQ4SuPaScyopgsO3qbMG-87/view?usp=drivesdk","https://drive.google.com/file/d/1sJVNHoqXZVQ4SuPaScyopgsO3qbMG-87/view?usp=drivesdk")</f>
        <v>https://drive.google.com/file/d/1sJVNHoqXZVQ4SuPaScyopgsO3qbMG-87/view?usp=drivesdk</v>
      </c>
      <c r="G874" s="7" t="s">
        <v>674</v>
      </c>
      <c r="H874" s="95" t="s">
        <v>3352</v>
      </c>
      <c r="I874" s="10"/>
      <c r="J874" s="8">
        <v>175</v>
      </c>
      <c r="K874" s="8">
        <v>1800</v>
      </c>
      <c r="L874" s="11">
        <v>0.39652777777777781</v>
      </c>
      <c r="M874" s="39" t="s">
        <v>22</v>
      </c>
      <c r="N874" s="43" t="s">
        <v>675</v>
      </c>
      <c r="O874" s="43" t="s">
        <v>676</v>
      </c>
    </row>
    <row r="875" spans="1:15">
      <c r="A875" s="5">
        <v>40734</v>
      </c>
      <c r="B875" s="18" t="s">
        <v>15</v>
      </c>
      <c r="C875" s="23" t="s">
        <v>16</v>
      </c>
      <c r="D875" s="7" t="s">
        <v>253</v>
      </c>
      <c r="E875" s="68" t="s">
        <v>672</v>
      </c>
      <c r="F875" s="85" t="str">
        <f>HYPERLINK("https://drive.google.com/file/d/1M5aJqneJCdYTdeU4EXBK-_bDzjHds6Eu/view?usp=drivesdk","https://drive.google.com/file/d/1M5aJqneJCdYTdeU4EXBK-_bDzjHds6Eu/view?usp=drivesdk")</f>
        <v>https://drive.google.com/file/d/1M5aJqneJCdYTdeU4EXBK-_bDzjHds6Eu/view?usp=drivesdk</v>
      </c>
      <c r="G875" s="7" t="s">
        <v>664</v>
      </c>
      <c r="H875" s="95" t="s">
        <v>3352</v>
      </c>
      <c r="I875" s="10"/>
      <c r="J875" s="8">
        <v>172</v>
      </c>
      <c r="K875" s="8">
        <v>1800</v>
      </c>
      <c r="L875" s="11">
        <v>0.39166666666666672</v>
      </c>
      <c r="M875" s="39" t="s">
        <v>22</v>
      </c>
      <c r="N875" s="43" t="s">
        <v>602</v>
      </c>
      <c r="O875" s="43" t="s">
        <v>603</v>
      </c>
    </row>
    <row r="876" spans="1:15" ht="27" customHeight="1">
      <c r="A876" s="5">
        <v>40727</v>
      </c>
      <c r="B876" s="18" t="s">
        <v>15</v>
      </c>
      <c r="C876" s="23" t="s">
        <v>16</v>
      </c>
      <c r="D876" s="7" t="s">
        <v>253</v>
      </c>
      <c r="E876" s="68" t="s">
        <v>671</v>
      </c>
      <c r="F876" s="85" t="str">
        <f>HYPERLINK("https://drive.google.com/file/d/1Jncj-S2nzvNqxCOSMuH1xtnZ-NBqZCpT/view?usp=drivesdk","https://drive.google.com/file/d/1Jncj-S2nzvNqxCOSMuH1xtnZ-NBqZCpT/view?usp=drivesdk")</f>
        <v>https://drive.google.com/file/d/1Jncj-S2nzvNqxCOSMuH1xtnZ-NBqZCpT/view?usp=drivesdk</v>
      </c>
      <c r="G876" s="7" t="s">
        <v>664</v>
      </c>
      <c r="H876" s="95" t="s">
        <v>3352</v>
      </c>
      <c r="I876" s="10"/>
      <c r="J876" s="8">
        <v>165</v>
      </c>
      <c r="K876" s="8">
        <v>1800</v>
      </c>
      <c r="L876" s="11">
        <v>0.34930555555555548</v>
      </c>
      <c r="M876" s="39" t="s">
        <v>22</v>
      </c>
      <c r="N876" s="43" t="s">
        <v>602</v>
      </c>
      <c r="O876" s="43" t="s">
        <v>603</v>
      </c>
    </row>
    <row r="877" spans="1:15" ht="27">
      <c r="A877" s="5">
        <v>40706</v>
      </c>
      <c r="B877" s="18" t="s">
        <v>15</v>
      </c>
      <c r="C877" s="34" t="s">
        <v>16</v>
      </c>
      <c r="D877" s="7" t="s">
        <v>668</v>
      </c>
      <c r="E877" s="68" t="s">
        <v>669</v>
      </c>
      <c r="F877" s="85" t="str">
        <f>HYPERLINK("https://drive.google.com/file/d/1IAdaH5logCW8BYeMzSTl3InJLJ8hdo0y/view?usp=drivesdk","https://drive.google.com/file/d/1IAdaH5logCW8BYeMzSTl3InJLJ8hdo0y/view?usp=drivesdk")</f>
        <v>https://drive.google.com/file/d/1IAdaH5logCW8BYeMzSTl3InJLJ8hdo0y/view?usp=drivesdk</v>
      </c>
      <c r="G877" s="7" t="s">
        <v>670</v>
      </c>
      <c r="H877" s="95" t="s">
        <v>3193</v>
      </c>
      <c r="I877" s="10"/>
      <c r="J877" s="8">
        <v>30</v>
      </c>
      <c r="K877" s="8"/>
      <c r="L877" s="11">
        <v>0.31597222222222221</v>
      </c>
      <c r="M877" s="39" t="s">
        <v>102</v>
      </c>
      <c r="N877" s="43" t="s">
        <v>194</v>
      </c>
      <c r="O877" s="43" t="s">
        <v>195</v>
      </c>
    </row>
    <row r="878" spans="1:15" ht="27">
      <c r="A878" s="5">
        <v>40699</v>
      </c>
      <c r="B878" s="18" t="s">
        <v>15</v>
      </c>
      <c r="C878" s="34" t="s">
        <v>16</v>
      </c>
      <c r="D878" s="7" t="s">
        <v>665</v>
      </c>
      <c r="E878" s="68" t="s">
        <v>666</v>
      </c>
      <c r="F878" s="85" t="str">
        <f>HYPERLINK("https://drive.google.com/file/d/14dLuVLVmIziwzxgkXsmu4mTuA6bTGy3J/view?usp=drivesdk","https://drive.google.com/file/d/14dLuVLVmIziwzxgkXsmu4mTuA6bTGy3J/view?usp=drivesdk")</f>
        <v>https://drive.google.com/file/d/14dLuVLVmIziwzxgkXsmu4mTuA6bTGy3J/view?usp=drivesdk</v>
      </c>
      <c r="G878" s="7" t="s">
        <v>667</v>
      </c>
      <c r="H878" s="95" t="s">
        <v>3344</v>
      </c>
      <c r="I878" s="10"/>
      <c r="J878" s="8">
        <v>63</v>
      </c>
      <c r="K878" s="8">
        <v>364</v>
      </c>
      <c r="L878" s="11">
        <v>0.25833333333333341</v>
      </c>
      <c r="M878" s="39" t="s">
        <v>22</v>
      </c>
      <c r="N878" s="43" t="s">
        <v>602</v>
      </c>
      <c r="O878" s="43" t="s">
        <v>603</v>
      </c>
    </row>
    <row r="879" spans="1:15">
      <c r="A879" s="5">
        <v>40698</v>
      </c>
      <c r="B879" s="18" t="s">
        <v>15</v>
      </c>
      <c r="C879" s="23" t="s">
        <v>16</v>
      </c>
      <c r="D879" s="7" t="s">
        <v>253</v>
      </c>
      <c r="E879" s="68" t="s">
        <v>663</v>
      </c>
      <c r="F879" s="85" t="str">
        <f>HYPERLINK("https://drive.google.com/file/d/1yDEIo5RSI5FgZur8KQb6SI7kiQfB4dFz/view?usp=drivesdk","https://drive.google.com/file/d/1yDEIo5RSI5FgZur8KQb6SI7kiQfB4dFz/view?usp=drivesdk")</f>
        <v>https://drive.google.com/file/d/1yDEIo5RSI5FgZur8KQb6SI7kiQfB4dFz/view?usp=drivesdk</v>
      </c>
      <c r="G879" s="7" t="s">
        <v>664</v>
      </c>
      <c r="H879" s="95" t="s">
        <v>3352</v>
      </c>
      <c r="I879" s="10"/>
      <c r="J879" s="8">
        <v>170</v>
      </c>
      <c r="K879" s="8">
        <v>1800</v>
      </c>
      <c r="L879" s="11">
        <v>0.37638888888888888</v>
      </c>
      <c r="M879" s="39" t="s">
        <v>22</v>
      </c>
      <c r="N879" s="43" t="s">
        <v>23</v>
      </c>
      <c r="O879" s="43" t="s">
        <v>136</v>
      </c>
    </row>
    <row r="880" spans="1:15" ht="40.5" customHeight="1">
      <c r="A880" s="5">
        <v>40685</v>
      </c>
      <c r="B880" s="18" t="s">
        <v>15</v>
      </c>
      <c r="C880" s="34" t="s">
        <v>16</v>
      </c>
      <c r="D880" s="7" t="s">
        <v>660</v>
      </c>
      <c r="E880" s="68" t="s">
        <v>661</v>
      </c>
      <c r="F880" s="85" t="str">
        <f>HYPERLINK("https://drive.google.com/file/d/11KhNtulR6lgCPoV3dFzYWQCchXNReKqz/view?usp=drivesdk","https://drive.google.com/file/d/11KhNtulR6lgCPoV3dFzYWQCchXNReKqz/view?usp=drivesdk")</f>
        <v>https://drive.google.com/file/d/11KhNtulR6lgCPoV3dFzYWQCchXNReKqz/view?usp=drivesdk</v>
      </c>
      <c r="G880" s="7" t="s">
        <v>662</v>
      </c>
      <c r="H880" s="73" t="s">
        <v>3193</v>
      </c>
      <c r="I880" s="10"/>
      <c r="J880" s="8">
        <v>70</v>
      </c>
      <c r="K880" s="8">
        <v>385</v>
      </c>
      <c r="L880" s="11">
        <v>0.31597222222222221</v>
      </c>
      <c r="M880" s="39" t="s">
        <v>22</v>
      </c>
      <c r="N880" s="43" t="s">
        <v>602</v>
      </c>
      <c r="O880" s="43" t="s">
        <v>603</v>
      </c>
    </row>
    <row r="881" spans="1:15" ht="27" customHeight="1">
      <c r="A881" s="5">
        <v>40671</v>
      </c>
      <c r="B881" s="18" t="s">
        <v>15</v>
      </c>
      <c r="C881" s="34" t="s">
        <v>16</v>
      </c>
      <c r="D881" s="7" t="s">
        <v>32</v>
      </c>
      <c r="E881" s="68" t="s">
        <v>659</v>
      </c>
      <c r="F881" s="85" t="str">
        <f>HYPERLINK("https://drive.google.com/file/d/1Rr-gZQfAq18pvARzvmoVvg74yWzVOMK6/view?usp=drivesdk","https://drive.google.com/file/d/1Rr-gZQfAq18pvARzvmoVvg74yWzVOMK6/view?usp=drivesdk")</f>
        <v>https://drive.google.com/file/d/1Rr-gZQfAq18pvARzvmoVvg74yWzVOMK6/view?usp=drivesdk</v>
      </c>
      <c r="G881" s="7" t="s">
        <v>245</v>
      </c>
      <c r="H881" s="95" t="s">
        <v>3208</v>
      </c>
      <c r="I881" s="10"/>
      <c r="J881" s="8">
        <v>45</v>
      </c>
      <c r="K881" s="8">
        <v>419</v>
      </c>
      <c r="L881" s="11">
        <v>0.24652777777777779</v>
      </c>
      <c r="M881" s="39" t="s">
        <v>330</v>
      </c>
      <c r="N881" s="43" t="s">
        <v>331</v>
      </c>
      <c r="O881" s="43" t="s">
        <v>332</v>
      </c>
    </row>
    <row r="882" spans="1:15" ht="27" customHeight="1">
      <c r="A882" s="5">
        <v>40666</v>
      </c>
      <c r="B882" s="18" t="s">
        <v>15</v>
      </c>
      <c r="C882" s="34" t="s">
        <v>16</v>
      </c>
      <c r="D882" s="7" t="s">
        <v>656</v>
      </c>
      <c r="E882" s="68" t="s">
        <v>657</v>
      </c>
      <c r="F882" s="85" t="str">
        <f>HYPERLINK("https://drive.google.com/file/d/15fIAszT6_O4S-j82P0VxsKyXv30pd1eM/view?usp=drivesdk","https://drive.google.com/file/d/15fIAszT6_O4S-j82P0VxsKyXv30pd1eM/view?usp=drivesdk")</f>
        <v>https://drive.google.com/file/d/15fIAszT6_O4S-j82P0VxsKyXv30pd1eM/view?usp=drivesdk</v>
      </c>
      <c r="G882" s="7" t="s">
        <v>658</v>
      </c>
      <c r="H882" s="95" t="s">
        <v>3201</v>
      </c>
      <c r="I882" s="10"/>
      <c r="J882" s="8">
        <v>37</v>
      </c>
      <c r="K882" s="8">
        <v>277</v>
      </c>
      <c r="L882" s="11">
        <v>0.34444444444444439</v>
      </c>
      <c r="M882" s="39" t="s">
        <v>22</v>
      </c>
      <c r="N882" s="43" t="s">
        <v>602</v>
      </c>
      <c r="O882" s="43" t="s">
        <v>603</v>
      </c>
    </row>
    <row r="883" spans="1:15" ht="27" customHeight="1">
      <c r="A883" s="5">
        <v>40665</v>
      </c>
      <c r="B883" s="18" t="s">
        <v>15</v>
      </c>
      <c r="C883" s="34" t="s">
        <v>16</v>
      </c>
      <c r="D883" s="7" t="s">
        <v>653</v>
      </c>
      <c r="E883" s="68" t="s">
        <v>654</v>
      </c>
      <c r="F883" s="85" t="str">
        <f>HYPERLINK("https://drive.google.com/file/d/1-zx8HHJiQK1smHWfq9MlvSNp9ldG95Py/view?usp=drivesdk","https://drive.google.com/file/d/1-zx8HHJiQK1smHWfq9MlvSNp9ldG95Py/view?usp=drivesdk")</f>
        <v>https://drive.google.com/file/d/1-zx8HHJiQK1smHWfq9MlvSNp9ldG95Py/view?usp=drivesdk</v>
      </c>
      <c r="G883" s="7" t="s">
        <v>655</v>
      </c>
      <c r="H883" s="95" t="s">
        <v>3201</v>
      </c>
      <c r="I883" s="10"/>
      <c r="J883" s="8">
        <v>31</v>
      </c>
      <c r="K883" s="8"/>
      <c r="L883" s="11">
        <v>0.5</v>
      </c>
      <c r="M883" s="39" t="s">
        <v>22</v>
      </c>
      <c r="N883" s="43" t="s">
        <v>602</v>
      </c>
      <c r="O883" s="43" t="s">
        <v>603</v>
      </c>
    </row>
    <row r="884" spans="1:15">
      <c r="A884" s="5">
        <v>40664</v>
      </c>
      <c r="B884" s="18" t="s">
        <v>15</v>
      </c>
      <c r="C884" s="34" t="s">
        <v>16</v>
      </c>
      <c r="D884" s="21" t="s">
        <v>370</v>
      </c>
      <c r="E884" s="68" t="s">
        <v>651</v>
      </c>
      <c r="F884" s="85" t="str">
        <f>HYPERLINK("https://drive.google.com/file/d/1JpfeDKsbYzCRH_2IlLUkrsrIhERAXOwu/view?usp=drivesdk","https://drive.google.com/file/d/1JpfeDKsbYzCRH_2IlLUkrsrIhERAXOwu/view?usp=drivesdk")</f>
        <v>https://drive.google.com/file/d/1JpfeDKsbYzCRH_2IlLUkrsrIhERAXOwu/view?usp=drivesdk</v>
      </c>
      <c r="G884" s="7" t="s">
        <v>652</v>
      </c>
      <c r="H884" s="95" t="s">
        <v>3239</v>
      </c>
      <c r="I884" s="40"/>
      <c r="J884" s="41">
        <v>44</v>
      </c>
      <c r="K884" s="41">
        <v>115</v>
      </c>
      <c r="L884" s="46">
        <v>0.1736111111111111</v>
      </c>
      <c r="M884" s="39" t="s">
        <v>330</v>
      </c>
      <c r="N884" s="43" t="s">
        <v>331</v>
      </c>
      <c r="O884" s="43" t="s">
        <v>332</v>
      </c>
    </row>
    <row r="885" spans="1:15" ht="27" customHeight="1">
      <c r="A885" s="5">
        <v>40663</v>
      </c>
      <c r="B885" s="18" t="s">
        <v>15</v>
      </c>
      <c r="C885" s="34" t="s">
        <v>16</v>
      </c>
      <c r="D885" s="21" t="s">
        <v>32</v>
      </c>
      <c r="E885" s="68" t="s">
        <v>649</v>
      </c>
      <c r="F885" s="85" t="str">
        <f>HYPERLINK("https://drive.google.com/file/d/15bIqv93oEs_6yuuW2r6qiexChLEQXYdB/view?usp=drivesdk","https://drive.google.com/file/d/15bIqv93oEs_6yuuW2r6qiexChLEQXYdB/view?usp=drivesdk")</f>
        <v>https://drive.google.com/file/d/15bIqv93oEs_6yuuW2r6qiexChLEQXYdB/view?usp=drivesdk</v>
      </c>
      <c r="G885" s="21" t="s">
        <v>650</v>
      </c>
      <c r="H885" s="95" t="s">
        <v>3208</v>
      </c>
      <c r="I885" s="40"/>
      <c r="J885" s="41">
        <v>40</v>
      </c>
      <c r="K885" s="41"/>
      <c r="L885" s="46">
        <v>0.18055555555555561</v>
      </c>
      <c r="M885" s="39" t="s">
        <v>330</v>
      </c>
      <c r="N885" s="43" t="s">
        <v>331</v>
      </c>
      <c r="O885" s="43" t="s">
        <v>332</v>
      </c>
    </row>
    <row r="886" spans="1:15">
      <c r="A886" s="5">
        <v>40650</v>
      </c>
      <c r="B886" s="18" t="s">
        <v>15</v>
      </c>
      <c r="C886" s="7" t="s">
        <v>131</v>
      </c>
      <c r="D886" s="7" t="s">
        <v>351</v>
      </c>
      <c r="E886" s="68" t="s">
        <v>648</v>
      </c>
      <c r="F886" s="85" t="str">
        <f>HYPERLINK("https://drive.google.com/file/d/1ApwCOzBQ6OB1cGVM_ySzo6hutFHxEALI/view?usp=drivesdk","https://drive.google.com/file/d/1ApwCOzBQ6OB1cGVM_ySzo6hutFHxEALI/view?usp=drivesdk")</f>
        <v>https://drive.google.com/file/d/1ApwCOzBQ6OB1cGVM_ySzo6hutFHxEALI/view?usp=drivesdk</v>
      </c>
      <c r="G886" s="7" t="s">
        <v>353</v>
      </c>
      <c r="H886" s="95" t="s">
        <v>3236</v>
      </c>
      <c r="I886" s="10"/>
      <c r="J886" s="8">
        <v>13</v>
      </c>
      <c r="K886" s="8">
        <v>791</v>
      </c>
      <c r="L886" s="11">
        <v>3.4722222222222217E-2</v>
      </c>
      <c r="M886" s="39" t="s">
        <v>22</v>
      </c>
      <c r="N886" s="43" t="s">
        <v>23</v>
      </c>
      <c r="O886" s="43" t="s">
        <v>136</v>
      </c>
    </row>
    <row r="887" spans="1:15" ht="27" customHeight="1">
      <c r="A887" s="5">
        <v>40642</v>
      </c>
      <c r="B887" s="18" t="s">
        <v>15</v>
      </c>
      <c r="C887" s="34" t="s">
        <v>16</v>
      </c>
      <c r="D887" s="21" t="s">
        <v>208</v>
      </c>
      <c r="E887" s="68" t="s">
        <v>646</v>
      </c>
      <c r="F887" s="85" t="str">
        <f>HYPERLINK("https://drive.google.com/file/d/1SoOZnlq7-XWvDZh4zOeDj2kTFaDZIcs0/view?usp=drivesdk","https://drive.google.com/file/d/1SoOZnlq7-XWvDZh4zOeDj2kTFaDZIcs0/view?usp=drivesdk")</f>
        <v>https://drive.google.com/file/d/1SoOZnlq7-XWvDZh4zOeDj2kTFaDZIcs0/view?usp=drivesdk</v>
      </c>
      <c r="G887" s="21" t="s">
        <v>647</v>
      </c>
      <c r="H887" s="95" t="s">
        <v>3208</v>
      </c>
      <c r="I887" s="24" t="s">
        <v>40</v>
      </c>
      <c r="J887" s="41">
        <v>63</v>
      </c>
      <c r="K887" s="41"/>
      <c r="L887" s="46">
        <v>0.30625000000000002</v>
      </c>
      <c r="M887" s="39" t="s">
        <v>102</v>
      </c>
      <c r="N887" s="43" t="s">
        <v>194</v>
      </c>
      <c r="O887" s="43" t="s">
        <v>195</v>
      </c>
    </row>
    <row r="888" spans="1:15" ht="27" customHeight="1">
      <c r="A888" s="5">
        <v>40641</v>
      </c>
      <c r="B888" s="18" t="s">
        <v>15</v>
      </c>
      <c r="C888" s="34" t="s">
        <v>16</v>
      </c>
      <c r="D888" s="7" t="s">
        <v>32</v>
      </c>
      <c r="E888" s="68" t="s">
        <v>644</v>
      </c>
      <c r="F888" s="85" t="str">
        <f>HYPERLINK("https://drive.google.com/file/d/1OiEziyp14Ymx0KCZ_-bhcH4MwemErcX-/view?usp=drivesdk","https://drive.google.com/file/d/1OiEziyp14Ymx0KCZ_-bhcH4MwemErcX-/view?usp=drivesdk")</f>
        <v>https://drive.google.com/file/d/1OiEziyp14Ymx0KCZ_-bhcH4MwemErcX-/view?usp=drivesdk</v>
      </c>
      <c r="G888" s="7" t="s">
        <v>645</v>
      </c>
      <c r="H888" s="95" t="s">
        <v>3208</v>
      </c>
      <c r="I888" s="24" t="s">
        <v>40</v>
      </c>
      <c r="J888" s="8">
        <v>66</v>
      </c>
      <c r="K888" s="8"/>
      <c r="L888" s="11">
        <v>0.16944444444444451</v>
      </c>
      <c r="M888" s="39" t="s">
        <v>22</v>
      </c>
      <c r="N888" s="43" t="s">
        <v>602</v>
      </c>
      <c r="O888" s="43" t="s">
        <v>603</v>
      </c>
    </row>
    <row r="889" spans="1:15">
      <c r="A889" s="5">
        <v>40640</v>
      </c>
      <c r="B889" s="18" t="s">
        <v>15</v>
      </c>
      <c r="C889" s="34" t="s">
        <v>16</v>
      </c>
      <c r="D889" s="21" t="s">
        <v>32</v>
      </c>
      <c r="E889" s="68" t="s">
        <v>643</v>
      </c>
      <c r="F889" s="85" t="str">
        <f>HYPERLINK("https://drive.google.com/file/d/1QKHIdVFHf1vLZXBEY0JABIpqPGah9gw_/view?usp=drivesdk","https://drive.google.com/file/d/1QKHIdVFHf1vLZXBEY0JABIpqPGah9gw_/view?usp=drivesdk")</f>
        <v>https://drive.google.com/file/d/1QKHIdVFHf1vLZXBEY0JABIpqPGah9gw_/view?usp=drivesdk</v>
      </c>
      <c r="G889" s="21" t="s">
        <v>408</v>
      </c>
      <c r="H889" s="95" t="s">
        <v>3208</v>
      </c>
      <c r="I889" s="24" t="s">
        <v>40</v>
      </c>
      <c r="J889" s="41">
        <v>26</v>
      </c>
      <c r="K889" s="41"/>
      <c r="L889" s="46">
        <v>0.1701388888888889</v>
      </c>
      <c r="M889" s="39" t="s">
        <v>102</v>
      </c>
      <c r="N889" s="43" t="s">
        <v>194</v>
      </c>
      <c r="O889" s="43" t="s">
        <v>195</v>
      </c>
    </row>
    <row r="890" spans="1:15" ht="18.75" customHeight="1">
      <c r="A890" s="5">
        <v>40636</v>
      </c>
      <c r="B890" s="18" t="s">
        <v>15</v>
      </c>
      <c r="C890" s="34" t="s">
        <v>16</v>
      </c>
      <c r="D890" s="21" t="s">
        <v>32</v>
      </c>
      <c r="E890" s="68" t="s">
        <v>641</v>
      </c>
      <c r="F890" s="85" t="str">
        <f>HYPERLINK("https://drive.google.com/file/d/1eHHPAR0z6SeUImkdfG5-7d8df-iMrnZZ/view?usp=drivesdk","https://drive.google.com/file/d/1eHHPAR0z6SeUImkdfG5-7d8df-iMrnZZ/view?usp=drivesdk")</f>
        <v>https://drive.google.com/file/d/1eHHPAR0z6SeUImkdfG5-7d8df-iMrnZZ/view?usp=drivesdk</v>
      </c>
      <c r="G890" s="21" t="s">
        <v>642</v>
      </c>
      <c r="H890" s="95" t="s">
        <v>3208</v>
      </c>
      <c r="I890" s="24" t="s">
        <v>40</v>
      </c>
      <c r="J890" s="41">
        <v>38</v>
      </c>
      <c r="K890" s="41"/>
      <c r="L890" s="46">
        <v>0.25277777777777782</v>
      </c>
      <c r="M890" s="39" t="s">
        <v>102</v>
      </c>
      <c r="N890" s="43" t="s">
        <v>194</v>
      </c>
      <c r="O890" s="43" t="s">
        <v>195</v>
      </c>
    </row>
    <row r="891" spans="1:15" ht="27" customHeight="1">
      <c r="A891" s="5">
        <v>40635</v>
      </c>
      <c r="B891" s="18" t="s">
        <v>15</v>
      </c>
      <c r="C891" s="34" t="s">
        <v>16</v>
      </c>
      <c r="D891" s="7" t="s">
        <v>27</v>
      </c>
      <c r="E891" s="68" t="s">
        <v>640</v>
      </c>
      <c r="F891" s="85" t="str">
        <f>HYPERLINK("https://drive.google.com/file/d/1C4NOhy0hhdPzFELRfeb6DoCoqFEsCBUT/view?usp=drivesdk","https://drive.google.com/file/d/1C4NOhy0hhdPzFELRfeb6DoCoqFEsCBUT/view?usp=drivesdk")</f>
        <v>https://drive.google.com/file/d/1C4NOhy0hhdPzFELRfeb6DoCoqFEsCBUT/view?usp=drivesdk</v>
      </c>
      <c r="G891" s="7" t="s">
        <v>346</v>
      </c>
      <c r="H891" s="95" t="s">
        <v>3208</v>
      </c>
      <c r="I891" s="81" t="s">
        <v>29</v>
      </c>
      <c r="J891" s="8">
        <v>105</v>
      </c>
      <c r="K891" s="8">
        <v>1555</v>
      </c>
      <c r="L891" s="11">
        <v>0.24583333333333329</v>
      </c>
      <c r="M891" s="39" t="s">
        <v>22</v>
      </c>
      <c r="N891" s="43" t="s">
        <v>23</v>
      </c>
      <c r="O891" s="43" t="s">
        <v>136</v>
      </c>
    </row>
    <row r="892" spans="1:15" ht="27" customHeight="1">
      <c r="A892" s="5">
        <v>40629</v>
      </c>
      <c r="B892" s="18" t="s">
        <v>15</v>
      </c>
      <c r="C892" s="23" t="s">
        <v>16</v>
      </c>
      <c r="D892" s="7" t="s">
        <v>637</v>
      </c>
      <c r="E892" s="68" t="s">
        <v>638</v>
      </c>
      <c r="F892" s="85" t="str">
        <f>HYPERLINK("https://drive.google.com/file/d/1UAIyv8WLy25khKyKMP1bkixRqALcl8TQ/view?usp=drivesdk","https://drive.google.com/file/d/1UAIyv8WLy25khKyKMP1bkixRqALcl8TQ/view?usp=drivesdk")</f>
        <v>https://drive.google.com/file/d/1UAIyv8WLy25khKyKMP1bkixRqALcl8TQ/view?usp=drivesdk</v>
      </c>
      <c r="G892" s="7" t="s">
        <v>639</v>
      </c>
      <c r="H892" s="95" t="s">
        <v>3350</v>
      </c>
      <c r="I892" s="10"/>
      <c r="J892" s="8">
        <v>131</v>
      </c>
      <c r="K892" s="8"/>
      <c r="L892" s="11">
        <v>0.30694444444444452</v>
      </c>
      <c r="M892" s="39" t="s">
        <v>22</v>
      </c>
      <c r="N892" s="43" t="s">
        <v>602</v>
      </c>
      <c r="O892" s="43" t="s">
        <v>603</v>
      </c>
    </row>
    <row r="893" spans="1:15" ht="40.5" customHeight="1">
      <c r="A893" s="5">
        <v>40622</v>
      </c>
      <c r="B893" s="18" t="s">
        <v>15</v>
      </c>
      <c r="C893" s="23" t="s">
        <v>16</v>
      </c>
      <c r="D893" s="7" t="s">
        <v>634</v>
      </c>
      <c r="E893" s="68" t="s">
        <v>635</v>
      </c>
      <c r="F893" s="85" t="str">
        <f>HYPERLINK("https://drive.google.com/file/d/1bYMOvutd_FVT1dg0bHlSNjfIo80Dt-if/view?usp=drivesdk","https://drive.google.com/file/d/1bYMOvutd_FVT1dg0bHlSNjfIo80Dt-if/view?usp=drivesdk")</f>
        <v>https://drive.google.com/file/d/1bYMOvutd_FVT1dg0bHlSNjfIo80Dt-if/view?usp=drivesdk</v>
      </c>
      <c r="G893" s="7" t="s">
        <v>636</v>
      </c>
      <c r="H893" s="95" t="s">
        <v>3209</v>
      </c>
      <c r="I893" s="10"/>
      <c r="J893" s="8">
        <v>163</v>
      </c>
      <c r="K893" s="8">
        <v>2802</v>
      </c>
      <c r="L893" s="11">
        <v>0.38472222222222219</v>
      </c>
      <c r="M893" s="39" t="s">
        <v>22</v>
      </c>
      <c r="N893" s="43" t="s">
        <v>23</v>
      </c>
      <c r="O893" s="43" t="s">
        <v>136</v>
      </c>
    </row>
    <row r="894" spans="1:15">
      <c r="A894" s="5">
        <v>40619</v>
      </c>
      <c r="B894" s="18" t="s">
        <v>15</v>
      </c>
      <c r="C894" s="34" t="s">
        <v>16</v>
      </c>
      <c r="D894" s="7" t="s">
        <v>32</v>
      </c>
      <c r="E894" s="68" t="s">
        <v>632</v>
      </c>
      <c r="F894" s="85" t="str">
        <f>HYPERLINK("https://drive.google.com/file/d/1VgiXNcs4UIHtF_UofQtGFF2fqWsJihJR/view?usp=drivesdk","https://drive.google.com/file/d/1VgiXNcs4UIHtF_UofQtGFF2fqWsJihJR/view?usp=drivesdk")</f>
        <v>https://drive.google.com/file/d/1VgiXNcs4UIHtF_UofQtGFF2fqWsJihJR/view?usp=drivesdk</v>
      </c>
      <c r="G894" s="7" t="s">
        <v>633</v>
      </c>
      <c r="H894" s="73" t="s">
        <v>222</v>
      </c>
      <c r="I894" s="10"/>
      <c r="J894" s="8">
        <v>46</v>
      </c>
      <c r="K894" s="8">
        <v>334</v>
      </c>
      <c r="L894" s="11">
        <v>0.1229166666666667</v>
      </c>
      <c r="M894" s="39" t="s">
        <v>102</v>
      </c>
      <c r="N894" s="43" t="s">
        <v>194</v>
      </c>
      <c r="O894" s="43" t="s">
        <v>195</v>
      </c>
    </row>
    <row r="895" spans="1:15">
      <c r="A895" s="5">
        <v>40615</v>
      </c>
      <c r="B895" s="18" t="s">
        <v>15</v>
      </c>
      <c r="C895" s="34" t="s">
        <v>16</v>
      </c>
      <c r="D895" s="7" t="s">
        <v>32</v>
      </c>
      <c r="E895" s="68" t="s">
        <v>630</v>
      </c>
      <c r="F895" s="85" t="str">
        <f>HYPERLINK("https://drive.google.com/file/d/1LtoyxomCZD9x-QOSDiDmV7PfpPVPOs3V/view?usp=drivesdk","https://drive.google.com/file/d/1LtoyxomCZD9x-QOSDiDmV7PfpPVPOs3V/view?usp=drivesdk")</f>
        <v>https://drive.google.com/file/d/1LtoyxomCZD9x-QOSDiDmV7PfpPVPOs3V/view?usp=drivesdk</v>
      </c>
      <c r="G895" s="21" t="s">
        <v>631</v>
      </c>
      <c r="H895" s="73" t="s">
        <v>222</v>
      </c>
      <c r="J895" s="41">
        <v>54</v>
      </c>
      <c r="K895" s="41">
        <v>222</v>
      </c>
      <c r="L895" s="46">
        <v>0.3576388888888889</v>
      </c>
      <c r="M895" s="39" t="s">
        <v>102</v>
      </c>
      <c r="N895" s="43" t="s">
        <v>194</v>
      </c>
      <c r="O895" s="43" t="s">
        <v>195</v>
      </c>
    </row>
    <row r="896" spans="1:15" ht="40.5" customHeight="1">
      <c r="A896" s="5">
        <v>40608</v>
      </c>
      <c r="B896" s="18" t="s">
        <v>15</v>
      </c>
      <c r="C896" s="34" t="s">
        <v>16</v>
      </c>
      <c r="D896" s="7" t="s">
        <v>32</v>
      </c>
      <c r="E896" s="68" t="s">
        <v>627</v>
      </c>
      <c r="F896" s="85" t="str">
        <f>HYPERLINK("https://drive.google.com/file/d/1r_-Z6vDMUPlQaplhBUkWgy0xG0AYNFs7/view?usp=drivesdk","https://drive.google.com/file/d/1r_-Z6vDMUPlQaplhBUkWgy0xG0AYNFs7/view?usp=drivesdk")</f>
        <v>https://drive.google.com/file/d/1r_-Z6vDMUPlQaplhBUkWgy0xG0AYNFs7/view?usp=drivesdk</v>
      </c>
      <c r="G896" s="7" t="s">
        <v>628</v>
      </c>
      <c r="H896" s="95" t="s">
        <v>3208</v>
      </c>
      <c r="I896" s="25" t="s">
        <v>629</v>
      </c>
      <c r="J896" s="8">
        <v>31</v>
      </c>
      <c r="K896" s="8">
        <v>176</v>
      </c>
      <c r="L896" s="11">
        <v>0.24236111111111111</v>
      </c>
      <c r="M896" s="39" t="s">
        <v>102</v>
      </c>
      <c r="N896" s="43" t="s">
        <v>194</v>
      </c>
      <c r="O896" s="43" t="s">
        <v>195</v>
      </c>
    </row>
    <row r="897" spans="1:15" ht="27" customHeight="1">
      <c r="A897" s="5">
        <v>40607</v>
      </c>
      <c r="B897" s="18" t="s">
        <v>15</v>
      </c>
      <c r="C897" s="23" t="s">
        <v>16</v>
      </c>
      <c r="D897" s="7" t="s">
        <v>624</v>
      </c>
      <c r="E897" s="68" t="s">
        <v>625</v>
      </c>
      <c r="F897" s="85" t="str">
        <f>HYPERLINK("https://drive.google.com/file/d/13CyB1VpbGndaT1weIkN4U6-3XouS4NUR/view?usp=drivesdk","https://drive.google.com/file/d/13CyB1VpbGndaT1weIkN4U6-3XouS4NUR/view?usp=drivesdk")</f>
        <v>https://drive.google.com/file/d/13CyB1VpbGndaT1weIkN4U6-3XouS4NUR/view?usp=drivesdk</v>
      </c>
      <c r="G897" s="7" t="s">
        <v>626</v>
      </c>
      <c r="H897" s="95" t="s">
        <v>3209</v>
      </c>
      <c r="I897" s="10"/>
      <c r="J897" s="8">
        <v>191</v>
      </c>
      <c r="K897" s="8">
        <v>1597</v>
      </c>
      <c r="L897" s="11">
        <v>0.41944444444444451</v>
      </c>
      <c r="M897" s="39" t="s">
        <v>22</v>
      </c>
      <c r="N897" s="43" t="s">
        <v>602</v>
      </c>
      <c r="O897" s="43" t="s">
        <v>603</v>
      </c>
    </row>
    <row r="898" spans="1:15">
      <c r="A898" s="5">
        <v>40600</v>
      </c>
      <c r="B898" s="18" t="s">
        <v>15</v>
      </c>
      <c r="C898" s="34" t="s">
        <v>16</v>
      </c>
      <c r="D898" s="7" t="s">
        <v>621</v>
      </c>
      <c r="E898" s="68" t="s">
        <v>622</v>
      </c>
      <c r="F898" s="85" t="str">
        <f>HYPERLINK("https://drive.google.com/file/d/15R8VmqrKf-ZjOt-xHFyNRdHO0kDu0nQP/view?usp=drivesdk","https://drive.google.com/file/d/15R8VmqrKf-ZjOt-xHFyNRdHO0kDu0nQP/view?usp=drivesdk")</f>
        <v>https://drive.google.com/file/d/15R8VmqrKf-ZjOt-xHFyNRdHO0kDu0nQP/view?usp=drivesdk</v>
      </c>
      <c r="G898" s="7" t="s">
        <v>623</v>
      </c>
      <c r="H898" s="95" t="s">
        <v>3225</v>
      </c>
      <c r="I898" s="24" t="s">
        <v>40</v>
      </c>
      <c r="J898" s="8">
        <v>7</v>
      </c>
      <c r="K898" s="8">
        <v>108</v>
      </c>
      <c r="L898" s="11">
        <v>7.4999999999999997E-2</v>
      </c>
      <c r="M898" s="39" t="s">
        <v>22</v>
      </c>
      <c r="N898" s="43" t="s">
        <v>602</v>
      </c>
      <c r="O898" s="43" t="s">
        <v>603</v>
      </c>
    </row>
    <row r="899" spans="1:15">
      <c r="A899" s="5">
        <v>40552</v>
      </c>
      <c r="B899" s="18" t="s">
        <v>15</v>
      </c>
      <c r="C899" s="34" t="s">
        <v>16</v>
      </c>
      <c r="D899" s="7" t="s">
        <v>96</v>
      </c>
      <c r="E899" s="68" t="s">
        <v>620</v>
      </c>
      <c r="F899" s="85" t="str">
        <f>HYPERLINK("https://drive.google.com/file/d/148uAk9XXmq3PPgWxzZokG4a2NWUhdDZy/view?usp=drivesdk","https://drive.google.com/file/d/148uAk9XXmq3PPgWxzZokG4a2NWUhdDZy/view?usp=drivesdk")</f>
        <v>https://drive.google.com/file/d/148uAk9XXmq3PPgWxzZokG4a2NWUhdDZy/view?usp=drivesdk</v>
      </c>
      <c r="G899" s="7" t="s">
        <v>96</v>
      </c>
      <c r="H899" s="95" t="s">
        <v>3209</v>
      </c>
      <c r="I899" s="10"/>
      <c r="J899" s="8">
        <v>143</v>
      </c>
      <c r="K899" s="8"/>
      <c r="L899" s="11">
        <v>0.33055555555555549</v>
      </c>
      <c r="M899" s="39" t="s">
        <v>22</v>
      </c>
      <c r="N899" s="43" t="s">
        <v>602</v>
      </c>
      <c r="O899" s="43" t="s">
        <v>603</v>
      </c>
    </row>
    <row r="900" spans="1:15" ht="27" customHeight="1">
      <c r="A900" s="5">
        <v>40517</v>
      </c>
      <c r="B900" s="18" t="s">
        <v>15</v>
      </c>
      <c r="C900" s="23" t="s">
        <v>16</v>
      </c>
      <c r="D900" s="7" t="s">
        <v>617</v>
      </c>
      <c r="E900" s="68" t="s">
        <v>618</v>
      </c>
      <c r="F900" s="85" t="str">
        <f>HYPERLINK("https://drive.google.com/file/d/1q4ghxAJhbEnSlLzx44kj1aeQSvfVX45e/view?usp=drivesdk","https://drive.google.com/file/d/1q4ghxAJhbEnSlLzx44kj1aeQSvfVX45e/view?usp=drivesdk")</f>
        <v>https://drive.google.com/file/d/1q4ghxAJhbEnSlLzx44kj1aeQSvfVX45e/view?usp=drivesdk</v>
      </c>
      <c r="G900" s="7" t="s">
        <v>619</v>
      </c>
      <c r="H900" s="95" t="s">
        <v>3193</v>
      </c>
      <c r="I900" s="15" t="s">
        <v>404</v>
      </c>
      <c r="J900" s="8">
        <v>41</v>
      </c>
      <c r="K900" s="8"/>
      <c r="L900" s="11">
        <v>0.43958333333333333</v>
      </c>
      <c r="M900" s="39" t="s">
        <v>330</v>
      </c>
      <c r="N900" s="43" t="s">
        <v>331</v>
      </c>
      <c r="O900" s="43" t="s">
        <v>332</v>
      </c>
    </row>
    <row r="901" spans="1:15" ht="27" customHeight="1">
      <c r="A901" s="5">
        <v>40510</v>
      </c>
      <c r="B901" s="18" t="s">
        <v>15</v>
      </c>
      <c r="C901" s="23" t="s">
        <v>16</v>
      </c>
      <c r="D901" s="7" t="s">
        <v>32</v>
      </c>
      <c r="E901" s="68" t="s">
        <v>613</v>
      </c>
      <c r="F901" s="85" t="str">
        <f>HYPERLINK("https://drive.google.com/file/d/17neMmJryoHXL1BEwajgUhF526FZRDWBR/view?usp=drivesdk","https://drive.google.com/file/d/17neMmJryoHXL1BEwajgUhF526FZRDWBR/view?usp=drivesdk")</f>
        <v>https://drive.google.com/file/d/17neMmJryoHXL1BEwajgUhF526FZRDWBR/view?usp=drivesdk</v>
      </c>
      <c r="G901" s="21" t="s">
        <v>614</v>
      </c>
      <c r="H901" s="95" t="s">
        <v>3208</v>
      </c>
      <c r="I901" s="15" t="s">
        <v>404</v>
      </c>
      <c r="J901" s="41">
        <v>64</v>
      </c>
      <c r="K901" s="41"/>
      <c r="L901" s="46">
        <v>0.18333333333333329</v>
      </c>
      <c r="M901" s="39" t="s">
        <v>102</v>
      </c>
      <c r="N901" s="48" t="s">
        <v>615</v>
      </c>
      <c r="O901" s="48" t="s">
        <v>616</v>
      </c>
    </row>
    <row r="902" spans="1:15">
      <c r="A902" s="5">
        <v>40505</v>
      </c>
      <c r="B902" s="18" t="s">
        <v>15</v>
      </c>
      <c r="C902" s="23" t="s">
        <v>16</v>
      </c>
      <c r="D902" s="7" t="s">
        <v>610</v>
      </c>
      <c r="E902" s="68" t="s">
        <v>611</v>
      </c>
      <c r="F902" s="85" t="str">
        <f>HYPERLINK("https://drive.google.com/file/d/1dcMxK2L1IvZdEijb7WUEWPGBu0DBzg_c/view?usp=drivesdk","https://drive.google.com/file/d/1dcMxK2L1IvZdEijb7WUEWPGBu0DBzg_c/view?usp=drivesdk")</f>
        <v>https://drive.google.com/file/d/1dcMxK2L1IvZdEijb7WUEWPGBu0DBzg_c/view?usp=drivesdk</v>
      </c>
      <c r="G902" s="7" t="s">
        <v>612</v>
      </c>
      <c r="H902" s="95" t="s">
        <v>3212</v>
      </c>
      <c r="I902" s="15" t="s">
        <v>404</v>
      </c>
      <c r="J902" s="8">
        <v>34</v>
      </c>
      <c r="K902" s="8">
        <v>254</v>
      </c>
      <c r="L902" s="11">
        <v>0.22361111111111109</v>
      </c>
      <c r="M902" s="39" t="s">
        <v>102</v>
      </c>
      <c r="N902" s="43" t="s">
        <v>194</v>
      </c>
      <c r="O902" s="43" t="s">
        <v>195</v>
      </c>
    </row>
    <row r="903" spans="1:15" ht="27" customHeight="1">
      <c r="A903" s="5">
        <v>40503</v>
      </c>
      <c r="B903" s="18" t="s">
        <v>15</v>
      </c>
      <c r="C903" s="23" t="s">
        <v>16</v>
      </c>
      <c r="D903" s="7" t="s">
        <v>32</v>
      </c>
      <c r="E903" s="68" t="s">
        <v>608</v>
      </c>
      <c r="F903" s="85" t="str">
        <f>HYPERLINK("https://drive.google.com/file/d/1gviVSkQIu-aidzQUNpQbsyGxD5_HCGl-/view?usp=drivesdk","https://drive.google.com/file/d/1gviVSkQIu-aidzQUNpQbsyGxD5_HCGl-/view?usp=drivesdk")</f>
        <v>https://drive.google.com/file/d/1gviVSkQIu-aidzQUNpQbsyGxD5_HCGl-/view?usp=drivesdk</v>
      </c>
      <c r="G903" s="7" t="s">
        <v>609</v>
      </c>
      <c r="H903" s="95" t="s">
        <v>3208</v>
      </c>
      <c r="I903" s="15" t="s">
        <v>404</v>
      </c>
      <c r="J903" s="8">
        <v>64</v>
      </c>
      <c r="K903" s="8"/>
      <c r="L903" s="11">
        <v>0.28333333333333333</v>
      </c>
      <c r="M903" s="39" t="s">
        <v>102</v>
      </c>
      <c r="N903" s="43" t="s">
        <v>194</v>
      </c>
      <c r="O903" s="43" t="s">
        <v>195</v>
      </c>
    </row>
    <row r="904" spans="1:15" ht="27">
      <c r="A904" s="5">
        <v>40496</v>
      </c>
      <c r="B904" s="18" t="s">
        <v>15</v>
      </c>
      <c r="C904" s="23" t="s">
        <v>16</v>
      </c>
      <c r="D904" s="7" t="s">
        <v>32</v>
      </c>
      <c r="E904" s="68" t="s">
        <v>606</v>
      </c>
      <c r="F904" s="85" t="str">
        <f>HYPERLINK("https://drive.google.com/file/d/1P84XYb_o2eByKFLvIybfEdaGmL379KL_/view?usp=drivesdk","https://drive.google.com/file/d/1P84XYb_o2eByKFLvIybfEdaGmL379KL_/view?usp=drivesdk")</f>
        <v>https://drive.google.com/file/d/1P84XYb_o2eByKFLvIybfEdaGmL379KL_/view?usp=drivesdk</v>
      </c>
      <c r="G904" s="7" t="s">
        <v>607</v>
      </c>
      <c r="H904" s="95" t="s">
        <v>3208</v>
      </c>
      <c r="I904" s="15" t="s">
        <v>404</v>
      </c>
      <c r="J904" s="8">
        <v>77</v>
      </c>
      <c r="K904" s="8">
        <v>743</v>
      </c>
      <c r="L904" s="11">
        <v>0.29375000000000001</v>
      </c>
      <c r="M904" s="39" t="s">
        <v>22</v>
      </c>
      <c r="N904" s="43" t="s">
        <v>602</v>
      </c>
      <c r="O904" s="43" t="s">
        <v>603</v>
      </c>
    </row>
    <row r="905" spans="1:15">
      <c r="A905" s="5">
        <v>40489</v>
      </c>
      <c r="B905" s="18" t="s">
        <v>15</v>
      </c>
      <c r="C905" s="23" t="s">
        <v>16</v>
      </c>
      <c r="D905" s="7" t="s">
        <v>32</v>
      </c>
      <c r="E905" s="68" t="s">
        <v>604</v>
      </c>
      <c r="F905" s="85" t="str">
        <f>HYPERLINK("https://drive.google.com/file/d/17ySSCRNqHW0ZsGK6c5nZyUa_euf5WpfI/view?usp=drivesdk","https://drive.google.com/file/d/17ySSCRNqHW0ZsGK6c5nZyUa_euf5WpfI/view?usp=drivesdk")</f>
        <v>https://drive.google.com/file/d/17ySSCRNqHW0ZsGK6c5nZyUa_euf5WpfI/view?usp=drivesdk</v>
      </c>
      <c r="G905" s="7" t="s">
        <v>605</v>
      </c>
      <c r="H905" s="95" t="s">
        <v>3208</v>
      </c>
      <c r="I905" s="10"/>
      <c r="J905" s="8">
        <v>71</v>
      </c>
      <c r="K905" s="8">
        <v>547</v>
      </c>
      <c r="L905" s="11">
        <v>0.23194444444444451</v>
      </c>
      <c r="M905" s="39" t="s">
        <v>102</v>
      </c>
      <c r="N905" s="43" t="s">
        <v>194</v>
      </c>
      <c r="O905" s="43" t="s">
        <v>195</v>
      </c>
    </row>
    <row r="906" spans="1:15">
      <c r="A906" s="5">
        <v>40482</v>
      </c>
      <c r="B906" s="18" t="s">
        <v>15</v>
      </c>
      <c r="C906" s="23" t="s">
        <v>16</v>
      </c>
      <c r="D906" s="7" t="s">
        <v>32</v>
      </c>
      <c r="E906" s="68" t="s">
        <v>600</v>
      </c>
      <c r="F906" s="85" t="str">
        <f>HYPERLINK("https://drive.google.com/file/d/1mRurLqJkRCSbZADxor-qPusuu71Q0s77/view?usp=drivesdk","https://drive.google.com/file/d/1mRurLqJkRCSbZADxor-qPusuu71Q0s77/view?usp=drivesdk")</f>
        <v>https://drive.google.com/file/d/1mRurLqJkRCSbZADxor-qPusuu71Q0s77/view?usp=drivesdk</v>
      </c>
      <c r="G906" s="7" t="s">
        <v>601</v>
      </c>
      <c r="H906" s="95" t="s">
        <v>3208</v>
      </c>
      <c r="I906" s="10"/>
      <c r="J906" s="8">
        <v>82</v>
      </c>
      <c r="K906" s="8"/>
      <c r="L906" s="11">
        <v>0.30416666666666659</v>
      </c>
      <c r="M906" s="39" t="s">
        <v>22</v>
      </c>
      <c r="N906" s="43" t="s">
        <v>602</v>
      </c>
      <c r="O906" s="43" t="s">
        <v>603</v>
      </c>
    </row>
    <row r="907" spans="1:15" ht="27" customHeight="1">
      <c r="A907" s="5">
        <v>40477</v>
      </c>
      <c r="B907" s="18" t="s">
        <v>15</v>
      </c>
      <c r="C907" s="23" t="s">
        <v>16</v>
      </c>
      <c r="D907" s="7" t="s">
        <v>32</v>
      </c>
      <c r="E907" s="68" t="s">
        <v>598</v>
      </c>
      <c r="F907" s="85" t="str">
        <f>HYPERLINK("https://drive.google.com/file/d/1ZQ0ZtMWRvzyCjmkIZBzdSxG0GUB74G--/view?usp=drivesdk","https://drive.google.com/file/d/1ZQ0ZtMWRvzyCjmkIZBzdSxG0GUB74G--/view?usp=drivesdk")</f>
        <v>https://drive.google.com/file/d/1ZQ0ZtMWRvzyCjmkIZBzdSxG0GUB74G--/view?usp=drivesdk</v>
      </c>
      <c r="G907" s="7" t="s">
        <v>599</v>
      </c>
      <c r="H907" s="95" t="s">
        <v>3208</v>
      </c>
      <c r="I907" s="10"/>
      <c r="J907" s="8">
        <v>48</v>
      </c>
      <c r="K907" s="8">
        <v>425</v>
      </c>
      <c r="L907" s="11">
        <v>0.35486111111111113</v>
      </c>
      <c r="M907" s="39" t="s">
        <v>102</v>
      </c>
      <c r="N907" s="43" t="s">
        <v>194</v>
      </c>
      <c r="O907" s="43" t="s">
        <v>195</v>
      </c>
    </row>
    <row r="908" spans="1:15" ht="14.25" customHeight="1">
      <c r="A908" s="5">
        <v>40475</v>
      </c>
      <c r="B908" s="18" t="s">
        <v>15</v>
      </c>
      <c r="C908" s="23" t="s">
        <v>16</v>
      </c>
      <c r="D908" s="7" t="s">
        <v>32</v>
      </c>
      <c r="E908" s="68" t="s">
        <v>596</v>
      </c>
      <c r="F908" s="85" t="str">
        <f>HYPERLINK("https://drive.google.com/file/d/1ejz5TAeHkXRyfZ3500eWkOFVZZ7CveyM/view?usp=drivesdk","https://drive.google.com/file/d/1ejz5TAeHkXRyfZ3500eWkOFVZZ7CveyM/view?usp=drivesdk")</f>
        <v>https://drive.google.com/file/d/1ejz5TAeHkXRyfZ3500eWkOFVZZ7CveyM/view?usp=drivesdk</v>
      </c>
      <c r="G908" s="7" t="s">
        <v>597</v>
      </c>
      <c r="H908" s="95" t="s">
        <v>3208</v>
      </c>
      <c r="I908" s="10"/>
      <c r="J908" s="8">
        <v>92</v>
      </c>
      <c r="K908" s="8"/>
      <c r="L908" s="11">
        <v>0.39097222222222222</v>
      </c>
      <c r="M908" s="39" t="s">
        <v>102</v>
      </c>
      <c r="N908" s="43" t="s">
        <v>194</v>
      </c>
      <c r="O908" s="43" t="s">
        <v>195</v>
      </c>
    </row>
    <row r="909" spans="1:15">
      <c r="A909" s="5">
        <v>40447</v>
      </c>
      <c r="B909" s="18" t="s">
        <v>15</v>
      </c>
      <c r="C909" s="23" t="s">
        <v>16</v>
      </c>
      <c r="D909" s="7" t="s">
        <v>593</v>
      </c>
      <c r="E909" s="68" t="s">
        <v>594</v>
      </c>
      <c r="F909" s="85" t="str">
        <f>HYPERLINK("https://drive.google.com/file/d/1TDnJMUa5LYNQHPNwW_8JWI6Q5SBoZEWJ/view?usp=drivesdk","https://drive.google.com/file/d/1TDnJMUa5LYNQHPNwW_8JWI6Q5SBoZEWJ/view?usp=drivesdk")</f>
        <v>https://drive.google.com/file/d/1TDnJMUa5LYNQHPNwW_8JWI6Q5SBoZEWJ/view?usp=drivesdk</v>
      </c>
      <c r="G909" s="7" t="s">
        <v>595</v>
      </c>
      <c r="H909" s="95" t="s">
        <v>3209</v>
      </c>
      <c r="I909" s="10"/>
      <c r="J909" s="8">
        <v>88</v>
      </c>
      <c r="K909" s="8">
        <v>454</v>
      </c>
      <c r="L909" s="11">
        <v>0.29305555555555562</v>
      </c>
      <c r="M909" s="39" t="s">
        <v>330</v>
      </c>
      <c r="N909" s="43" t="s">
        <v>331</v>
      </c>
      <c r="O909" s="43" t="s">
        <v>332</v>
      </c>
    </row>
    <row r="910" spans="1:15">
      <c r="A910" s="5">
        <v>40441</v>
      </c>
      <c r="B910" s="18" t="s">
        <v>15</v>
      </c>
      <c r="C910" s="23" t="s">
        <v>16</v>
      </c>
      <c r="D910" s="7" t="s">
        <v>32</v>
      </c>
      <c r="E910" s="68" t="s">
        <v>591</v>
      </c>
      <c r="F910" s="85" t="str">
        <f>HYPERLINK("https://drive.google.com/file/d/12oAka3NiKAJR_VmFmR95IWikdD66Zd58/view?usp=drivesdk","https://drive.google.com/file/d/12oAka3NiKAJR_VmFmR95IWikdD66Zd58/view?usp=drivesdk")</f>
        <v>https://drive.google.com/file/d/12oAka3NiKAJR_VmFmR95IWikdD66Zd58/view?usp=drivesdk</v>
      </c>
      <c r="G910" s="7" t="s">
        <v>592</v>
      </c>
      <c r="H910" s="95" t="s">
        <v>3208</v>
      </c>
      <c r="I910" s="10"/>
      <c r="J910" s="8">
        <v>55</v>
      </c>
      <c r="K910" s="8">
        <v>406</v>
      </c>
      <c r="L910" s="11">
        <v>0.31597222222222221</v>
      </c>
      <c r="M910" s="39" t="s">
        <v>330</v>
      </c>
      <c r="N910" s="43" t="s">
        <v>331</v>
      </c>
      <c r="O910" s="43" t="s">
        <v>332</v>
      </c>
    </row>
    <row r="911" spans="1:15" ht="27">
      <c r="A911" s="5">
        <v>40419</v>
      </c>
      <c r="B911" s="18" t="s">
        <v>15</v>
      </c>
      <c r="C911" s="7" t="s">
        <v>131</v>
      </c>
      <c r="D911" s="7" t="s">
        <v>273</v>
      </c>
      <c r="E911" s="68" t="s">
        <v>590</v>
      </c>
      <c r="F911" s="85" t="str">
        <f>HYPERLINK("https://drive.google.com/file/d/1FXimVAbGedsv4NFhpCOx5wibhbeOdDiR/view?usp=drivesdk","https://drive.google.com/file/d/1FXimVAbGedsv4NFhpCOx5wibhbeOdDiR/view?usp=drivesdk")</f>
        <v>https://drive.google.com/file/d/1FXimVAbGedsv4NFhpCOx5wibhbeOdDiR/view?usp=drivesdk</v>
      </c>
      <c r="G911" s="7" t="s">
        <v>383</v>
      </c>
      <c r="H911" s="95" t="s">
        <v>3202</v>
      </c>
      <c r="I911" s="23" t="s">
        <v>276</v>
      </c>
      <c r="J911" s="8">
        <v>21</v>
      </c>
      <c r="K911" s="8">
        <v>1260</v>
      </c>
      <c r="L911" s="11">
        <v>5.9027777777777783E-2</v>
      </c>
      <c r="M911" s="39" t="s">
        <v>22</v>
      </c>
      <c r="N911" s="43" t="s">
        <v>23</v>
      </c>
      <c r="O911" s="43" t="s">
        <v>136</v>
      </c>
    </row>
    <row r="912" spans="1:15" ht="27" customHeight="1">
      <c r="A912" s="5">
        <v>40412</v>
      </c>
      <c r="B912" s="18" t="s">
        <v>15</v>
      </c>
      <c r="C912" s="23" t="s">
        <v>16</v>
      </c>
      <c r="D912" s="7" t="s">
        <v>253</v>
      </c>
      <c r="E912" s="68" t="s">
        <v>588</v>
      </c>
      <c r="F912" s="85" t="str">
        <f>HYPERLINK("https://drive.google.com/file/d/1UQQjb_jFehDp2kLcPEUtQLPsjxLRLqth/view?usp=drivesdk","https://drive.google.com/file/d/1UQQjb_jFehDp2kLcPEUtQLPsjxLRLqth/view?usp=drivesdk")</f>
        <v>https://drive.google.com/file/d/1UQQjb_jFehDp2kLcPEUtQLPsjxLRLqth/view?usp=drivesdk</v>
      </c>
      <c r="G912" s="7" t="s">
        <v>589</v>
      </c>
      <c r="H912" s="95" t="s">
        <v>3352</v>
      </c>
      <c r="I912" s="10"/>
      <c r="J912" s="8">
        <v>173</v>
      </c>
      <c r="K912" s="8">
        <v>2400</v>
      </c>
      <c r="L912" s="11">
        <v>0.35694444444444451</v>
      </c>
      <c r="M912" s="39" t="s">
        <v>22</v>
      </c>
      <c r="N912" s="43" t="s">
        <v>23</v>
      </c>
      <c r="O912" s="43" t="s">
        <v>136</v>
      </c>
    </row>
    <row r="913" spans="1:15" ht="27" customHeight="1">
      <c r="A913" s="5">
        <v>40405</v>
      </c>
      <c r="B913" s="18" t="s">
        <v>15</v>
      </c>
      <c r="C913" s="23" t="s">
        <v>16</v>
      </c>
      <c r="D913" s="7" t="s">
        <v>253</v>
      </c>
      <c r="E913" s="68" t="s">
        <v>586</v>
      </c>
      <c r="F913" s="85" t="str">
        <f>HYPERLINK("https://drive.google.com/file/d/1yR2nDjsntOJaG-wpObxMXUOHVvVWX_Nc/view?usp=drivesdk","https://drive.google.com/file/d/1yR2nDjsntOJaG-wpObxMXUOHVvVWX_Nc/view?usp=drivesdk")</f>
        <v>https://drive.google.com/file/d/1yR2nDjsntOJaG-wpObxMXUOHVvVWX_Nc/view?usp=drivesdk</v>
      </c>
      <c r="G913" s="7" t="s">
        <v>587</v>
      </c>
      <c r="H913" s="95" t="s">
        <v>3352</v>
      </c>
      <c r="I913" s="10"/>
      <c r="J913" s="8">
        <v>177</v>
      </c>
      <c r="K913" s="8">
        <v>2300</v>
      </c>
      <c r="L913" s="11">
        <v>0.3840277777777778</v>
      </c>
      <c r="M913" s="39" t="s">
        <v>22</v>
      </c>
      <c r="N913" s="43" t="s">
        <v>23</v>
      </c>
      <c r="O913" s="43" t="s">
        <v>136</v>
      </c>
    </row>
    <row r="914" spans="1:15" ht="27" customHeight="1">
      <c r="A914" s="5">
        <v>40398</v>
      </c>
      <c r="B914" s="18" t="s">
        <v>15</v>
      </c>
      <c r="C914" s="23" t="s">
        <v>16</v>
      </c>
      <c r="D914" s="7" t="s">
        <v>583</v>
      </c>
      <c r="E914" s="68" t="s">
        <v>584</v>
      </c>
      <c r="F914" s="85" t="str">
        <f>HYPERLINK("https://drive.google.com/file/d/1q8WxjvHFZa0isMPMb8HznyK7pUigmBPL/view?usp=drivesdk","https://drive.google.com/file/d/1q8WxjvHFZa0isMPMb8HznyK7pUigmBPL/view?usp=drivesdk")</f>
        <v>https://drive.google.com/file/d/1q8WxjvHFZa0isMPMb8HznyK7pUigmBPL/view?usp=drivesdk</v>
      </c>
      <c r="G914" s="7" t="s">
        <v>585</v>
      </c>
      <c r="H914" s="95" t="s">
        <v>3351</v>
      </c>
      <c r="I914" s="10"/>
      <c r="J914" s="8">
        <v>148</v>
      </c>
      <c r="K914" s="8">
        <v>825</v>
      </c>
      <c r="L914" s="11">
        <v>0.37430555555555561</v>
      </c>
      <c r="M914" s="39" t="s">
        <v>22</v>
      </c>
      <c r="N914" s="43" t="s">
        <v>23</v>
      </c>
      <c r="O914" s="43" t="s">
        <v>136</v>
      </c>
    </row>
    <row r="915" spans="1:15" ht="27" customHeight="1">
      <c r="A915" s="5">
        <v>40391</v>
      </c>
      <c r="B915" s="18" t="s">
        <v>15</v>
      </c>
      <c r="C915" s="34" t="s">
        <v>16</v>
      </c>
      <c r="D915" s="7" t="s">
        <v>3263</v>
      </c>
      <c r="E915" s="68"/>
      <c r="G915" s="7" t="s">
        <v>582</v>
      </c>
      <c r="H915" s="95" t="s">
        <v>3208</v>
      </c>
      <c r="I915" s="10"/>
      <c r="J915" s="8">
        <v>35</v>
      </c>
      <c r="K915" s="8"/>
      <c r="L915" s="11"/>
      <c r="M915" s="39" t="s">
        <v>102</v>
      </c>
      <c r="N915" s="43" t="s">
        <v>194</v>
      </c>
      <c r="O915" s="43" t="s">
        <v>195</v>
      </c>
    </row>
    <row r="916" spans="1:15" ht="27" customHeight="1">
      <c r="A916" s="5">
        <v>40378</v>
      </c>
      <c r="B916" s="18" t="s">
        <v>15</v>
      </c>
      <c r="C916" s="23" t="s">
        <v>16</v>
      </c>
      <c r="D916" s="7" t="s">
        <v>244</v>
      </c>
      <c r="E916" s="68" t="s">
        <v>581</v>
      </c>
      <c r="F916" s="85" t="str">
        <f>HYPERLINK("https://drive.google.com/file/d/1DGvwTIH7AUrp04m15LPPLxDcw7vNPtQV/view?usp=drivesdk","https://drive.google.com/file/d/1DGvwTIH7AUrp04m15LPPLxDcw7vNPtQV/view?usp=drivesdk")</f>
        <v>https://drive.google.com/file/d/1DGvwTIH7AUrp04m15LPPLxDcw7vNPtQV/view?usp=drivesdk</v>
      </c>
      <c r="G916" s="7" t="s">
        <v>65</v>
      </c>
      <c r="H916" s="95" t="s">
        <v>3212</v>
      </c>
      <c r="I916" s="10"/>
      <c r="J916" s="8">
        <v>59</v>
      </c>
      <c r="K916" s="8">
        <v>2114</v>
      </c>
      <c r="L916" s="11">
        <v>0.1958333333333333</v>
      </c>
      <c r="M916" s="39" t="s">
        <v>22</v>
      </c>
      <c r="N916" s="43" t="s">
        <v>23</v>
      </c>
      <c r="O916" s="43" t="s">
        <v>136</v>
      </c>
    </row>
    <row r="917" spans="1:15" ht="14.25" customHeight="1">
      <c r="A917" s="5">
        <v>40376</v>
      </c>
      <c r="B917" s="18" t="s">
        <v>15</v>
      </c>
      <c r="C917" s="51" t="s">
        <v>151</v>
      </c>
      <c r="D917" s="7" t="s">
        <v>27</v>
      </c>
      <c r="E917" s="68" t="s">
        <v>580</v>
      </c>
      <c r="F917" s="85" t="str">
        <f>HYPERLINK("https://drive.google.com/file/d/198ThmxXW6V05zT0-dvhDgkvCkl4pOoA1/view?usp=drivesdk","https://drive.google.com/file/d/198ThmxXW6V05zT0-dvhDgkvCkl4pOoA1/view?usp=drivesdk")</f>
        <v>https://drive.google.com/file/d/198ThmxXW6V05zT0-dvhDgkvCkl4pOoA1/view?usp=drivesdk</v>
      </c>
      <c r="G917" s="7" t="s">
        <v>455</v>
      </c>
      <c r="H917" s="95" t="s">
        <v>3208</v>
      </c>
      <c r="I917" s="81" t="s">
        <v>29</v>
      </c>
      <c r="J917" s="8">
        <v>21</v>
      </c>
      <c r="K917" s="8">
        <v>907</v>
      </c>
      <c r="L917" s="11">
        <v>4.0972222222222222E-2</v>
      </c>
      <c r="M917" s="39" t="s">
        <v>22</v>
      </c>
      <c r="N917" s="43" t="s">
        <v>23</v>
      </c>
      <c r="O917" s="43" t="s">
        <v>136</v>
      </c>
    </row>
    <row r="918" spans="1:15" ht="18.75">
      <c r="A918" s="5">
        <v>40369</v>
      </c>
      <c r="B918" s="18" t="s">
        <v>15</v>
      </c>
      <c r="C918" s="34" t="s">
        <v>16</v>
      </c>
      <c r="D918" s="7" t="s">
        <v>27</v>
      </c>
      <c r="E918" s="68" t="s">
        <v>579</v>
      </c>
      <c r="F918" s="85" t="str">
        <f>HYPERLINK("https://drive.google.com/file/d/1WIWQTLAY3pNpdMukI6-29EyxZjTYRjfc/view?usp=drivesdk","https://drive.google.com/file/d/1WIWQTLAY3pNpdMukI6-29EyxZjTYRjfc/view?usp=drivesdk")</f>
        <v>https://drive.google.com/file/d/1WIWQTLAY3pNpdMukI6-29EyxZjTYRjfc/view?usp=drivesdk</v>
      </c>
      <c r="G918" s="7" t="s">
        <v>346</v>
      </c>
      <c r="H918" s="95" t="s">
        <v>3208</v>
      </c>
      <c r="I918" s="81" t="s">
        <v>29</v>
      </c>
      <c r="J918" s="8">
        <v>110</v>
      </c>
      <c r="K918" s="8">
        <v>1000</v>
      </c>
      <c r="L918" s="11"/>
      <c r="M918" s="39" t="s">
        <v>22</v>
      </c>
      <c r="N918" s="43" t="s">
        <v>23</v>
      </c>
      <c r="O918" s="43" t="s">
        <v>136</v>
      </c>
    </row>
    <row r="919" spans="1:15" ht="27" customHeight="1">
      <c r="A919" s="5">
        <v>40363</v>
      </c>
      <c r="B919" s="18" t="s">
        <v>15</v>
      </c>
      <c r="C919" s="34" t="s">
        <v>16</v>
      </c>
      <c r="D919" s="7" t="s">
        <v>27</v>
      </c>
      <c r="E919" s="68" t="s">
        <v>578</v>
      </c>
      <c r="F919" s="85" t="str">
        <f>HYPERLINK("https://drive.google.com/file/d/1BF4Pe7q_SqhNVwgSEOuvIdNX2uOha9O5/view?usp=drivesdk","https://drive.google.com/file/d/1BF4Pe7q_SqhNVwgSEOuvIdNX2uOha9O5/view?usp=drivesdk")</f>
        <v>https://drive.google.com/file/d/1BF4Pe7q_SqhNVwgSEOuvIdNX2uOha9O5/view?usp=drivesdk</v>
      </c>
      <c r="G919" s="7" t="s">
        <v>346</v>
      </c>
      <c r="H919" s="95" t="s">
        <v>3208</v>
      </c>
      <c r="I919" s="81" t="s">
        <v>29</v>
      </c>
      <c r="J919" s="8">
        <v>110</v>
      </c>
      <c r="K919" s="8">
        <v>1000</v>
      </c>
      <c r="L919" s="11"/>
      <c r="M919" s="39" t="s">
        <v>22</v>
      </c>
      <c r="N919" s="43" t="s">
        <v>23</v>
      </c>
      <c r="O919" s="43" t="s">
        <v>136</v>
      </c>
    </row>
    <row r="920" spans="1:15" ht="18.75">
      <c r="A920" s="5">
        <v>40362</v>
      </c>
      <c r="B920" s="18" t="s">
        <v>15</v>
      </c>
      <c r="C920" s="34" t="s">
        <v>16</v>
      </c>
      <c r="D920" s="7" t="s">
        <v>27</v>
      </c>
      <c r="E920" s="68" t="s">
        <v>577</v>
      </c>
      <c r="F920" s="85" t="str">
        <f>HYPERLINK("https://drive.google.com/file/d/1pq-XhG2PTxVUFKv2z7BUufL6njYZKU6X/view?usp=drivesdk","https://drive.google.com/file/d/1pq-XhG2PTxVUFKv2z7BUufL6njYZKU6X/view?usp=drivesdk")</f>
        <v>https://drive.google.com/file/d/1pq-XhG2PTxVUFKv2z7BUufL6njYZKU6X/view?usp=drivesdk</v>
      </c>
      <c r="G920" s="7" t="s">
        <v>346</v>
      </c>
      <c r="H920" s="95" t="s">
        <v>3208</v>
      </c>
      <c r="I920" s="81" t="s">
        <v>29</v>
      </c>
      <c r="J920" s="8">
        <v>110</v>
      </c>
      <c r="K920" s="8">
        <v>1000</v>
      </c>
      <c r="L920" s="11"/>
      <c r="M920" s="39" t="s">
        <v>22</v>
      </c>
      <c r="N920" s="43" t="s">
        <v>23</v>
      </c>
      <c r="O920" s="43" t="s">
        <v>136</v>
      </c>
    </row>
    <row r="921" spans="1:15" ht="27" customHeight="1">
      <c r="A921" s="5">
        <v>40356</v>
      </c>
      <c r="B921" s="18" t="s">
        <v>15</v>
      </c>
      <c r="C921" s="7" t="s">
        <v>131</v>
      </c>
      <c r="D921" s="7" t="s">
        <v>574</v>
      </c>
      <c r="E921" s="68" t="s">
        <v>575</v>
      </c>
      <c r="F921" s="85" t="str">
        <f>HYPERLINK("https://drive.google.com/file/d/1Ulk6hoYQjqs8iReW1adMC8VfLzVb1diB/view?usp=drivesdk","https://drive.google.com/file/d/1Ulk6hoYQjqs8iReW1adMC8VfLzVb1diB/view?usp=drivesdk")</f>
        <v>https://drive.google.com/file/d/1Ulk6hoYQjqs8iReW1adMC8VfLzVb1diB/view?usp=drivesdk</v>
      </c>
      <c r="G921" s="7" t="s">
        <v>576</v>
      </c>
      <c r="H921" s="95" t="s">
        <v>3230</v>
      </c>
      <c r="I921" s="10"/>
      <c r="J921" s="8">
        <v>14</v>
      </c>
      <c r="K921" s="8">
        <v>947</v>
      </c>
      <c r="L921" s="11">
        <v>4.027777777777778E-2</v>
      </c>
      <c r="M921" s="39" t="s">
        <v>22</v>
      </c>
      <c r="N921" s="43" t="s">
        <v>23</v>
      </c>
      <c r="O921" s="43" t="s">
        <v>136</v>
      </c>
    </row>
    <row r="922" spans="1:15" ht="27" customHeight="1">
      <c r="A922" s="5">
        <v>40348</v>
      </c>
      <c r="B922" s="18" t="s">
        <v>15</v>
      </c>
      <c r="C922" s="34" t="s">
        <v>16</v>
      </c>
      <c r="D922" s="7" t="s">
        <v>27</v>
      </c>
      <c r="E922" s="69"/>
      <c r="G922" s="7" t="s">
        <v>346</v>
      </c>
      <c r="H922" s="95" t="s">
        <v>3208</v>
      </c>
      <c r="I922" s="81" t="s">
        <v>29</v>
      </c>
      <c r="J922" s="8">
        <v>110</v>
      </c>
      <c r="K922" s="8">
        <v>1000</v>
      </c>
      <c r="L922" s="11"/>
      <c r="M922" s="39" t="s">
        <v>22</v>
      </c>
      <c r="N922" s="43" t="s">
        <v>23</v>
      </c>
      <c r="O922" s="43" t="s">
        <v>136</v>
      </c>
    </row>
    <row r="923" spans="1:15" ht="27" customHeight="1">
      <c r="A923" s="5">
        <v>40341</v>
      </c>
      <c r="B923" s="18" t="s">
        <v>15</v>
      </c>
      <c r="C923" s="34" t="s">
        <v>16</v>
      </c>
      <c r="D923" s="7" t="s">
        <v>27</v>
      </c>
      <c r="E923" s="69"/>
      <c r="G923" s="7" t="s">
        <v>346</v>
      </c>
      <c r="H923" s="95" t="s">
        <v>3208</v>
      </c>
      <c r="I923" s="81" t="s">
        <v>29</v>
      </c>
      <c r="J923" s="8">
        <v>110</v>
      </c>
      <c r="K923" s="8">
        <v>1000</v>
      </c>
      <c r="L923" s="11"/>
      <c r="M923" s="39" t="s">
        <v>22</v>
      </c>
      <c r="N923" s="43" t="s">
        <v>23</v>
      </c>
      <c r="O923" s="43" t="s">
        <v>136</v>
      </c>
    </row>
    <row r="924" spans="1:15" ht="40.5" customHeight="1">
      <c r="A924" s="5">
        <v>40320</v>
      </c>
      <c r="B924" s="18" t="s">
        <v>15</v>
      </c>
      <c r="C924" s="34" t="s">
        <v>16</v>
      </c>
      <c r="D924" s="7" t="s">
        <v>170</v>
      </c>
      <c r="E924" s="68" t="s">
        <v>573</v>
      </c>
      <c r="F924" s="85" t="str">
        <f>HYPERLINK("https://drive.google.com/file/d/1-wDYQHjPn3HjXEHpocXU8lU6u_2xXDO1/view?usp=drivesdk","https://drive.google.com/file/d/1-wDYQHjPn3HjXEHpocXU8lU6u_2xXDO1/view?usp=drivesdk")</f>
        <v>https://drive.google.com/file/d/1-wDYQHjPn3HjXEHpocXU8lU6u_2xXDO1/view?usp=drivesdk</v>
      </c>
      <c r="G924" s="7" t="s">
        <v>171</v>
      </c>
      <c r="H924" s="95" t="s">
        <v>3209</v>
      </c>
      <c r="I924" s="10"/>
      <c r="J924" s="8">
        <v>67</v>
      </c>
      <c r="K924" s="8">
        <v>603</v>
      </c>
      <c r="L924" s="11">
        <v>0.18194444444444441</v>
      </c>
      <c r="M924" s="39" t="s">
        <v>22</v>
      </c>
      <c r="N924" s="43" t="s">
        <v>23</v>
      </c>
      <c r="O924" s="43" t="s">
        <v>136</v>
      </c>
    </row>
    <row r="925" spans="1:15" ht="40.5" customHeight="1">
      <c r="A925" s="5">
        <v>40314</v>
      </c>
      <c r="B925" s="18" t="s">
        <v>15</v>
      </c>
      <c r="C925" s="34" t="s">
        <v>16</v>
      </c>
      <c r="D925" s="7" t="s">
        <v>32</v>
      </c>
      <c r="E925" s="68" t="s">
        <v>571</v>
      </c>
      <c r="F925" s="85" t="str">
        <f>HYPERLINK("https://drive.google.com/file/d/1akgQt8lYaNpqGcy2TEzWgvaHU764WErM/view?usp=drivesdk","https://drive.google.com/file/d/1akgQt8lYaNpqGcy2TEzWgvaHU764WErM/view?usp=drivesdk")</f>
        <v>https://drive.google.com/file/d/1akgQt8lYaNpqGcy2TEzWgvaHU764WErM/view?usp=drivesdk</v>
      </c>
      <c r="G925" s="7" t="s">
        <v>572</v>
      </c>
      <c r="H925" s="73" t="s">
        <v>222</v>
      </c>
      <c r="I925" s="23"/>
      <c r="J925" s="8">
        <v>57</v>
      </c>
      <c r="K925" s="8"/>
      <c r="L925" s="11">
        <v>0.22500000000000001</v>
      </c>
      <c r="M925" s="39" t="s">
        <v>102</v>
      </c>
      <c r="N925" s="43" t="s">
        <v>194</v>
      </c>
      <c r="O925" s="43" t="s">
        <v>195</v>
      </c>
    </row>
    <row r="926" spans="1:15">
      <c r="A926" s="5">
        <v>40307</v>
      </c>
      <c r="B926" s="18" t="s">
        <v>15</v>
      </c>
      <c r="C926" s="34" t="s">
        <v>16</v>
      </c>
      <c r="D926" s="7" t="s">
        <v>32</v>
      </c>
      <c r="E926" s="69"/>
      <c r="G926" s="7" t="s">
        <v>245</v>
      </c>
      <c r="H926" s="73" t="s">
        <v>222</v>
      </c>
      <c r="I926" s="10"/>
      <c r="J926" s="8">
        <v>50</v>
      </c>
      <c r="K926" s="8"/>
      <c r="L926" s="11"/>
      <c r="M926" s="39" t="s">
        <v>330</v>
      </c>
      <c r="N926" s="43" t="s">
        <v>331</v>
      </c>
      <c r="O926" s="43" t="s">
        <v>332</v>
      </c>
    </row>
    <row r="927" spans="1:15" ht="54" customHeight="1">
      <c r="A927" s="5">
        <v>40301</v>
      </c>
      <c r="B927" s="18" t="s">
        <v>15</v>
      </c>
      <c r="C927" s="34" t="s">
        <v>16</v>
      </c>
      <c r="D927" s="7" t="s">
        <v>32</v>
      </c>
      <c r="E927" s="68" t="s">
        <v>569</v>
      </c>
      <c r="F927" s="85" t="str">
        <f>HYPERLINK("https://drive.google.com/file/d/1RthL8khWgI9XbuH9pgfIN-Yixr1ifh5G/view?usp=drivesdk","https://drive.google.com/file/d/1RthL8khWgI9XbuH9pgfIN-Yixr1ifh5G/view?usp=drivesdk")</f>
        <v>https://drive.google.com/file/d/1RthL8khWgI9XbuH9pgfIN-Yixr1ifh5G/view?usp=drivesdk</v>
      </c>
      <c r="G927" s="7" t="s">
        <v>570</v>
      </c>
      <c r="H927" s="95" t="s">
        <v>3209</v>
      </c>
      <c r="I927" s="10"/>
      <c r="J927" s="8">
        <v>23</v>
      </c>
      <c r="K927" s="8">
        <v>33</v>
      </c>
      <c r="L927" s="11">
        <v>0.1361111111111111</v>
      </c>
      <c r="M927" s="39" t="s">
        <v>330</v>
      </c>
      <c r="N927" s="43" t="s">
        <v>331</v>
      </c>
      <c r="O927" s="43" t="s">
        <v>332</v>
      </c>
    </row>
    <row r="928" spans="1:15">
      <c r="A928" s="5">
        <v>40300</v>
      </c>
      <c r="B928" s="18" t="s">
        <v>15</v>
      </c>
      <c r="C928" s="34" t="s">
        <v>16</v>
      </c>
      <c r="D928" s="7" t="s">
        <v>566</v>
      </c>
      <c r="E928" s="68" t="s">
        <v>567</v>
      </c>
      <c r="F928" s="85" t="str">
        <f>HYPERLINK("https://drive.google.com/file/d/1UNEGPUcd61N19RzISE1_SE6tU9WDSyNI/view?usp=drivesdk","https://drive.google.com/file/d/1UNEGPUcd61N19RzISE1_SE6tU9WDSyNI/view?usp=drivesdk")</f>
        <v>https://drive.google.com/file/d/1UNEGPUcd61N19RzISE1_SE6tU9WDSyNI/view?usp=drivesdk</v>
      </c>
      <c r="G928" s="7" t="s">
        <v>568</v>
      </c>
      <c r="H928" s="95" t="s">
        <v>3193</v>
      </c>
      <c r="I928" s="10"/>
      <c r="J928" s="8">
        <v>60</v>
      </c>
      <c r="K928" s="8">
        <v>408</v>
      </c>
      <c r="L928" s="11">
        <v>0.45624999999999999</v>
      </c>
      <c r="M928" s="39" t="s">
        <v>102</v>
      </c>
      <c r="N928" s="43" t="s">
        <v>194</v>
      </c>
      <c r="O928" s="43" t="s">
        <v>195</v>
      </c>
    </row>
    <row r="929" spans="1:15" ht="14.25" customHeight="1">
      <c r="A929" s="5">
        <v>40298</v>
      </c>
      <c r="B929" s="18" t="s">
        <v>15</v>
      </c>
      <c r="C929" s="23" t="s">
        <v>16</v>
      </c>
      <c r="D929" s="7" t="s">
        <v>563</v>
      </c>
      <c r="E929" s="68" t="s">
        <v>564</v>
      </c>
      <c r="F929" s="85" t="str">
        <f>HYPERLINK("https://drive.google.com/file/d/12A5L6cBEZ0tMCJbJ-Np-bZDkK9U7n8zS/view?usp=drivesdk","https://drive.google.com/file/d/12A5L6cBEZ0tMCJbJ-Np-bZDkK9U7n8zS/view?usp=drivesdk")</f>
        <v>https://drive.google.com/file/d/12A5L6cBEZ0tMCJbJ-Np-bZDkK9U7n8zS/view?usp=drivesdk</v>
      </c>
      <c r="G929" s="7" t="s">
        <v>565</v>
      </c>
      <c r="H929" s="95" t="s">
        <v>3234</v>
      </c>
      <c r="I929" s="10"/>
      <c r="J929" s="8">
        <v>90</v>
      </c>
      <c r="K929" s="8">
        <v>2184</v>
      </c>
      <c r="L929" s="11">
        <v>0.2479166666666667</v>
      </c>
      <c r="M929" s="39" t="s">
        <v>22</v>
      </c>
      <c r="N929" s="43" t="s">
        <v>23</v>
      </c>
      <c r="O929" s="43" t="s">
        <v>24</v>
      </c>
    </row>
    <row r="930" spans="1:15" ht="27" customHeight="1">
      <c r="A930" s="5">
        <v>40293</v>
      </c>
      <c r="B930" s="18" t="s">
        <v>15</v>
      </c>
      <c r="C930" s="23" t="s">
        <v>16</v>
      </c>
      <c r="D930" s="7" t="s">
        <v>354</v>
      </c>
      <c r="E930" s="66" t="s">
        <v>560</v>
      </c>
      <c r="F930" s="85" t="str">
        <f>HYPERLINK("https://drive.google.com/file/d/1_zkdvrmy-eMsLny1GN41uZzedPmTpnvV/view?usp=drivesdk","https://drive.google.com/file/d/1_zkdvrmy-eMsLny1GN41uZzedPmTpnvV/view?usp=drivesdk")</f>
        <v>https://drive.google.com/file/d/1_zkdvrmy-eMsLny1GN41uZzedPmTpnvV/view?usp=drivesdk</v>
      </c>
      <c r="G930" s="7" t="s">
        <v>561</v>
      </c>
      <c r="H930" s="95" t="s">
        <v>3225</v>
      </c>
      <c r="I930" s="10" t="s">
        <v>357</v>
      </c>
      <c r="J930" s="8">
        <v>197.1</v>
      </c>
      <c r="K930" s="8">
        <v>4682</v>
      </c>
      <c r="L930" s="11" t="s">
        <v>562</v>
      </c>
      <c r="M930" s="39" t="s">
        <v>22</v>
      </c>
      <c r="N930" s="43" t="s">
        <v>23</v>
      </c>
      <c r="O930" s="43" t="s">
        <v>136</v>
      </c>
    </row>
    <row r="931" spans="1:15">
      <c r="A931" s="5">
        <v>40279</v>
      </c>
      <c r="B931" s="18" t="s">
        <v>15</v>
      </c>
      <c r="C931" s="34" t="s">
        <v>16</v>
      </c>
      <c r="D931" s="7" t="s">
        <v>17</v>
      </c>
      <c r="E931" s="68" t="s">
        <v>558</v>
      </c>
      <c r="F931" s="85" t="str">
        <f>HYPERLINK("https://drive.google.com/file/d/1m5CuPKMh9MFABfFmive3F-kTzfW1N0BU/view?usp=drivesdk","https://drive.google.com/file/d/1m5CuPKMh9MFABfFmive3F-kTzfW1N0BU/view?usp=drivesdk")</f>
        <v>https://drive.google.com/file/d/1m5CuPKMh9MFABfFmive3F-kTzfW1N0BU/view?usp=drivesdk</v>
      </c>
      <c r="G931" s="7" t="s">
        <v>559</v>
      </c>
      <c r="H931" s="95" t="s">
        <v>3208</v>
      </c>
      <c r="I931" s="24" t="s">
        <v>40</v>
      </c>
      <c r="J931" s="8">
        <v>81</v>
      </c>
      <c r="K931" s="8">
        <v>379</v>
      </c>
      <c r="L931" s="11">
        <v>0.24652777777777779</v>
      </c>
      <c r="M931" s="39" t="s">
        <v>102</v>
      </c>
      <c r="N931" s="43" t="s">
        <v>194</v>
      </c>
      <c r="O931" s="43" t="s">
        <v>195</v>
      </c>
    </row>
    <row r="932" spans="1:15" ht="27" customHeight="1">
      <c r="A932" s="5">
        <v>40278</v>
      </c>
      <c r="B932" s="18" t="s">
        <v>15</v>
      </c>
      <c r="C932" s="23" t="s">
        <v>16</v>
      </c>
      <c r="D932" s="7" t="s">
        <v>556</v>
      </c>
      <c r="E932" s="68" t="s">
        <v>557</v>
      </c>
      <c r="F932" s="85" t="str">
        <f>HYPERLINK("https://drive.google.com/file/d/1Dmb_8SPu5Y3mp_pGcG78plMTJhDGPSWT/view?usp=drivesdk","https://drive.google.com/file/d/1Dmb_8SPu5Y3mp_pGcG78plMTJhDGPSWT/view?usp=drivesdk")</f>
        <v>https://drive.google.com/file/d/1Dmb_8SPu5Y3mp_pGcG78plMTJhDGPSWT/view?usp=drivesdk</v>
      </c>
      <c r="G932" s="7" t="s">
        <v>424</v>
      </c>
      <c r="H932" s="95" t="s">
        <v>3225</v>
      </c>
      <c r="I932" s="10" t="s">
        <v>357</v>
      </c>
      <c r="J932" s="8">
        <v>25</v>
      </c>
      <c r="K932" s="8">
        <v>611</v>
      </c>
      <c r="L932" s="54">
        <v>5.8333333333333327E-2</v>
      </c>
      <c r="M932" s="39" t="s">
        <v>22</v>
      </c>
      <c r="N932" s="43" t="s">
        <v>23</v>
      </c>
      <c r="O932" s="43" t="s">
        <v>136</v>
      </c>
    </row>
    <row r="933" spans="1:15" ht="27" customHeight="1">
      <c r="A933" s="5">
        <v>40274</v>
      </c>
      <c r="B933" s="18" t="s">
        <v>15</v>
      </c>
      <c r="C933" s="34" t="s">
        <v>16</v>
      </c>
      <c r="D933" s="7" t="s">
        <v>555</v>
      </c>
      <c r="E933" s="69"/>
      <c r="G933" s="7" t="s">
        <v>119</v>
      </c>
      <c r="H933" s="95" t="s">
        <v>3208</v>
      </c>
      <c r="I933" s="24" t="s">
        <v>40</v>
      </c>
      <c r="J933" s="8">
        <v>1</v>
      </c>
      <c r="K933" s="8"/>
      <c r="L933" s="11"/>
      <c r="M933" s="39" t="s">
        <v>102</v>
      </c>
      <c r="N933" s="43" t="s">
        <v>194</v>
      </c>
      <c r="O933" s="43" t="s">
        <v>195</v>
      </c>
    </row>
    <row r="934" spans="1:15" ht="27" customHeight="1">
      <c r="A934" s="5">
        <v>40272</v>
      </c>
      <c r="B934" s="18" t="s">
        <v>15</v>
      </c>
      <c r="C934" s="34" t="s">
        <v>16</v>
      </c>
      <c r="D934" s="7" t="s">
        <v>27</v>
      </c>
      <c r="E934" s="69"/>
      <c r="G934" s="7" t="s">
        <v>346</v>
      </c>
      <c r="H934" s="95" t="s">
        <v>3208</v>
      </c>
      <c r="I934" s="81" t="s">
        <v>29</v>
      </c>
      <c r="J934" s="8">
        <v>110</v>
      </c>
      <c r="K934" s="8">
        <v>1000</v>
      </c>
      <c r="L934" s="11"/>
      <c r="M934" s="39" t="s">
        <v>22</v>
      </c>
      <c r="N934" s="43" t="s">
        <v>23</v>
      </c>
      <c r="O934" s="43" t="s">
        <v>136</v>
      </c>
    </row>
    <row r="935" spans="1:15" ht="27" customHeight="1">
      <c r="A935" s="5">
        <v>40271</v>
      </c>
      <c r="B935" s="18" t="s">
        <v>15</v>
      </c>
      <c r="C935" s="34" t="s">
        <v>16</v>
      </c>
      <c r="D935" s="7" t="s">
        <v>552</v>
      </c>
      <c r="E935" s="68" t="s">
        <v>553</v>
      </c>
      <c r="F935" s="85" t="str">
        <f>HYPERLINK("https://drive.google.com/file/d/1s8nY6Ewft02eBykF_Kl03h9CwDgV3myB/view?usp=drivesdk","https://drive.google.com/file/d/1s8nY6Ewft02eBykF_Kl03h9CwDgV3myB/view?usp=drivesdk")</f>
        <v>https://drive.google.com/file/d/1s8nY6Ewft02eBykF_Kl03h9CwDgV3myB/view?usp=drivesdk</v>
      </c>
      <c r="G935" s="7" t="s">
        <v>554</v>
      </c>
      <c r="H935" s="95" t="s">
        <v>3208</v>
      </c>
      <c r="I935" s="24" t="s">
        <v>40</v>
      </c>
      <c r="J935" s="8">
        <v>81</v>
      </c>
      <c r="K935" s="8"/>
      <c r="L935" s="11">
        <v>0.37013888888888891</v>
      </c>
      <c r="M935" s="39" t="s">
        <v>102</v>
      </c>
      <c r="N935" s="43" t="s">
        <v>194</v>
      </c>
      <c r="O935" s="43" t="s">
        <v>195</v>
      </c>
    </row>
    <row r="936" spans="1:15" ht="40.5" customHeight="1">
      <c r="A936" s="5">
        <v>40265</v>
      </c>
      <c r="B936" s="18" t="s">
        <v>15</v>
      </c>
      <c r="C936" s="34" t="s">
        <v>16</v>
      </c>
      <c r="D936" s="7" t="s">
        <v>549</v>
      </c>
      <c r="E936" s="68" t="s">
        <v>550</v>
      </c>
      <c r="F936" s="85" t="str">
        <f>HYPERLINK("https://drive.google.com/file/d/1ZiUsBid9Soff11swFQ1LHXWuOxJqSkDc/view?usp=drivesdk","https://drive.google.com/file/d/1ZiUsBid9Soff11swFQ1LHXWuOxJqSkDc/view?usp=drivesdk")</f>
        <v>https://drive.google.com/file/d/1ZiUsBid9Soff11swFQ1LHXWuOxJqSkDc/view?usp=drivesdk</v>
      </c>
      <c r="G936" s="7" t="s">
        <v>551</v>
      </c>
      <c r="H936" s="95" t="s">
        <v>3351</v>
      </c>
      <c r="I936" s="24" t="s">
        <v>40</v>
      </c>
      <c r="J936" s="8">
        <v>98</v>
      </c>
      <c r="K936" s="8"/>
      <c r="L936" s="11">
        <v>0.29722222222222222</v>
      </c>
      <c r="M936" s="39" t="s">
        <v>22</v>
      </c>
      <c r="N936" s="43" t="s">
        <v>23</v>
      </c>
      <c r="O936" s="43" t="s">
        <v>24</v>
      </c>
    </row>
    <row r="937" spans="1:15" ht="27" customHeight="1">
      <c r="A937" s="5">
        <v>40264</v>
      </c>
      <c r="B937" s="18" t="s">
        <v>15</v>
      </c>
      <c r="C937" s="34" t="s">
        <v>16</v>
      </c>
      <c r="D937" s="7" t="s">
        <v>32</v>
      </c>
      <c r="E937" s="68" t="s">
        <v>547</v>
      </c>
      <c r="F937" s="85" t="str">
        <f>HYPERLINK("https://drive.google.com/file/d/1t-YlSr8KP-aXgWMbY4H3L4Af6Ykt9yFF/view?usp=drivesdk","https://drive.google.com/file/d/1t-YlSr8KP-aXgWMbY4H3L4Af6Ykt9yFF/view?usp=drivesdk")</f>
        <v>https://drive.google.com/file/d/1t-YlSr8KP-aXgWMbY4H3L4Af6Ykt9yFF/view?usp=drivesdk</v>
      </c>
      <c r="G937" s="7" t="s">
        <v>548</v>
      </c>
      <c r="H937" s="95" t="s">
        <v>3208</v>
      </c>
      <c r="I937" s="24" t="s">
        <v>40</v>
      </c>
      <c r="J937" s="8">
        <v>75</v>
      </c>
      <c r="K937" s="8"/>
      <c r="L937" s="11">
        <v>0.22847222222222219</v>
      </c>
      <c r="M937" s="39" t="s">
        <v>102</v>
      </c>
      <c r="N937" s="43" t="s">
        <v>194</v>
      </c>
      <c r="O937" s="43" t="s">
        <v>195</v>
      </c>
    </row>
    <row r="938" spans="1:15">
      <c r="A938" s="5">
        <v>40258</v>
      </c>
      <c r="B938" s="18" t="s">
        <v>15</v>
      </c>
      <c r="C938" s="34" t="s">
        <v>16</v>
      </c>
      <c r="D938" s="7" t="s">
        <v>32</v>
      </c>
      <c r="E938" s="68" t="s">
        <v>545</v>
      </c>
      <c r="F938" s="85" t="str">
        <f>HYPERLINK("https://drive.google.com/file/d/1tONPtDYfIwnvlnqAQ_J3Bn0eYfjoNuD2/view?usp=drivesdk","https://drive.google.com/file/d/1tONPtDYfIwnvlnqAQ_J3Bn0eYfjoNuD2/view?usp=drivesdk")</f>
        <v>https://drive.google.com/file/d/1tONPtDYfIwnvlnqAQ_J3Bn0eYfjoNuD2/view?usp=drivesdk</v>
      </c>
      <c r="G938" s="7" t="s">
        <v>546</v>
      </c>
      <c r="H938" s="95" t="s">
        <v>3208</v>
      </c>
      <c r="I938" s="24" t="s">
        <v>40</v>
      </c>
      <c r="J938" s="8">
        <v>112</v>
      </c>
      <c r="K938" s="8">
        <v>696</v>
      </c>
      <c r="L938" s="11">
        <v>0.39583333333333331</v>
      </c>
      <c r="M938" s="39" t="s">
        <v>22</v>
      </c>
      <c r="N938" s="43" t="s">
        <v>23</v>
      </c>
      <c r="O938" s="43" t="s">
        <v>24</v>
      </c>
    </row>
    <row r="939" spans="1:15">
      <c r="A939" s="5">
        <v>40237</v>
      </c>
      <c r="B939" s="18" t="s">
        <v>15</v>
      </c>
      <c r="C939" s="34" t="s">
        <v>16</v>
      </c>
      <c r="D939" s="7" t="s">
        <v>32</v>
      </c>
      <c r="E939" s="68" t="s">
        <v>543</v>
      </c>
      <c r="F939" s="85" t="str">
        <f>HYPERLINK("https://drive.google.com/file/d/1r8ufNqoC8FvQNDlA1nJV5v08Z2zzs4oB/view?usp=drivesdk","https://drive.google.com/file/d/1r8ufNqoC8FvQNDlA1nJV5v08Z2zzs4oB/view?usp=drivesdk")</f>
        <v>https://drive.google.com/file/d/1r8ufNqoC8FvQNDlA1nJV5v08Z2zzs4oB/view?usp=drivesdk</v>
      </c>
      <c r="G939" s="7" t="s">
        <v>544</v>
      </c>
      <c r="H939" s="95" t="s">
        <v>3208</v>
      </c>
      <c r="I939" s="10"/>
      <c r="J939" s="8">
        <v>70</v>
      </c>
      <c r="K939" s="8">
        <v>285</v>
      </c>
      <c r="L939" s="11">
        <v>0.22569444444444439</v>
      </c>
      <c r="M939" s="39" t="s">
        <v>102</v>
      </c>
      <c r="N939" s="43" t="s">
        <v>194</v>
      </c>
      <c r="O939" s="43" t="s">
        <v>195</v>
      </c>
    </row>
    <row r="940" spans="1:15" ht="27" customHeight="1">
      <c r="A940" s="5">
        <v>40202</v>
      </c>
      <c r="B940" s="18" t="s">
        <v>15</v>
      </c>
      <c r="C940" s="34" t="s">
        <v>16</v>
      </c>
      <c r="D940" s="7" t="s">
        <v>540</v>
      </c>
      <c r="E940" s="68" t="s">
        <v>541</v>
      </c>
      <c r="F940" s="85" t="str">
        <f>HYPERLINK("https://drive.google.com/file/d/1RLnXX1bqS6i9oOL2Yl7Ea25kXxeiDbBi/view?usp=drivesdk","https://drive.google.com/file/d/1RLnXX1bqS6i9oOL2Yl7Ea25kXxeiDbBi/view?usp=drivesdk")</f>
        <v>https://drive.google.com/file/d/1RLnXX1bqS6i9oOL2Yl7Ea25kXxeiDbBi/view?usp=drivesdk</v>
      </c>
      <c r="G940" s="7" t="s">
        <v>542</v>
      </c>
      <c r="H940" s="95" t="s">
        <v>3208</v>
      </c>
      <c r="I940" s="10"/>
      <c r="J940" s="8">
        <v>38</v>
      </c>
      <c r="K940" s="8"/>
      <c r="L940" s="11">
        <v>0.21458333333333329</v>
      </c>
      <c r="M940" s="39" t="s">
        <v>330</v>
      </c>
      <c r="N940" s="43" t="s">
        <v>331</v>
      </c>
      <c r="O940" s="43" t="s">
        <v>332</v>
      </c>
    </row>
    <row r="941" spans="1:15" ht="27" customHeight="1">
      <c r="A941" s="5">
        <v>40195</v>
      </c>
      <c r="B941" s="18" t="s">
        <v>15</v>
      </c>
      <c r="C941" s="34" t="s">
        <v>16</v>
      </c>
      <c r="D941" s="21" t="s">
        <v>32</v>
      </c>
      <c r="E941" s="68" t="s">
        <v>538</v>
      </c>
      <c r="F941" s="85" t="str">
        <f>HYPERLINK("https://drive.google.com/file/d/1ZiwYbNqibx3p1DcCGQx4ASIi1nY7BhW1/view?usp=drivesdk","https://drive.google.com/file/d/1ZiwYbNqibx3p1DcCGQx4ASIi1nY7BhW1/view?usp=drivesdk")</f>
        <v>https://drive.google.com/file/d/1ZiwYbNqibx3p1DcCGQx4ASIi1nY7BhW1/view?usp=drivesdk</v>
      </c>
      <c r="G941" s="7" t="s">
        <v>539</v>
      </c>
      <c r="H941" s="95" t="s">
        <v>3208</v>
      </c>
      <c r="I941" s="40"/>
      <c r="J941" s="41">
        <v>42</v>
      </c>
      <c r="K941" s="41">
        <v>824</v>
      </c>
      <c r="L941" s="46">
        <v>0.2902777777777778</v>
      </c>
      <c r="M941" s="39" t="s">
        <v>102</v>
      </c>
      <c r="N941" s="43" t="s">
        <v>194</v>
      </c>
      <c r="O941" s="43" t="s">
        <v>195</v>
      </c>
    </row>
    <row r="942" spans="1:15" ht="27">
      <c r="A942" s="5">
        <v>40189</v>
      </c>
      <c r="B942" s="18" t="s">
        <v>15</v>
      </c>
      <c r="C942" s="34" t="s">
        <v>16</v>
      </c>
      <c r="D942" s="7" t="s">
        <v>535</v>
      </c>
      <c r="E942" s="68" t="s">
        <v>536</v>
      </c>
      <c r="F942" s="85" t="str">
        <f>HYPERLINK("https://drive.google.com/file/d/15d20jNFKChCxK2-UfHGyQxURS8BhFDvT/view?usp=drivesdk","https://drive.google.com/file/d/15d20jNFKChCxK2-UfHGyQxURS8BhFDvT/view?usp=drivesdk")</f>
        <v>https://drive.google.com/file/d/15d20jNFKChCxK2-UfHGyQxURS8BhFDvT/view?usp=drivesdk</v>
      </c>
      <c r="G942" s="7" t="s">
        <v>537</v>
      </c>
      <c r="H942" s="73" t="s">
        <v>3233</v>
      </c>
      <c r="I942" s="10"/>
      <c r="J942" s="8">
        <v>55</v>
      </c>
      <c r="K942" s="8">
        <v>125</v>
      </c>
      <c r="L942" s="54">
        <v>0.15</v>
      </c>
      <c r="M942" s="39" t="s">
        <v>102</v>
      </c>
      <c r="N942" s="43" t="s">
        <v>194</v>
      </c>
      <c r="O942" s="43" t="s">
        <v>195</v>
      </c>
    </row>
    <row r="943" spans="1:15" ht="27">
      <c r="A943" s="5">
        <v>40182</v>
      </c>
      <c r="B943" s="18" t="s">
        <v>15</v>
      </c>
      <c r="C943" s="34" t="s">
        <v>16</v>
      </c>
      <c r="D943" s="7" t="s">
        <v>533</v>
      </c>
      <c r="E943" s="69"/>
      <c r="G943" s="7" t="s">
        <v>534</v>
      </c>
      <c r="H943" s="95" t="s">
        <v>3208</v>
      </c>
      <c r="I943" s="10"/>
      <c r="J943" s="8">
        <v>48</v>
      </c>
      <c r="K943" s="8"/>
      <c r="L943" s="11"/>
      <c r="M943" s="39" t="s">
        <v>102</v>
      </c>
      <c r="N943" s="43" t="s">
        <v>194</v>
      </c>
      <c r="O943" s="43" t="s">
        <v>195</v>
      </c>
    </row>
    <row r="944" spans="1:15" ht="27">
      <c r="A944" s="5">
        <v>40180</v>
      </c>
      <c r="B944" s="18" t="s">
        <v>15</v>
      </c>
      <c r="C944" s="34" t="s">
        <v>16</v>
      </c>
      <c r="D944" s="7" t="s">
        <v>531</v>
      </c>
      <c r="E944" s="69"/>
      <c r="G944" s="7" t="s">
        <v>532</v>
      </c>
      <c r="H944" s="95" t="s">
        <v>3227</v>
      </c>
      <c r="I944" s="10"/>
      <c r="J944" s="8">
        <v>10</v>
      </c>
      <c r="K944" s="8"/>
      <c r="L944" s="11"/>
      <c r="M944" s="39" t="s">
        <v>330</v>
      </c>
      <c r="N944" s="43" t="s">
        <v>331</v>
      </c>
      <c r="O944" s="43" t="s">
        <v>332</v>
      </c>
    </row>
    <row r="945" spans="1:15" ht="27" customHeight="1">
      <c r="A945" s="5">
        <v>40178</v>
      </c>
      <c r="B945" s="18" t="s">
        <v>15</v>
      </c>
      <c r="C945" s="34" t="s">
        <v>16</v>
      </c>
      <c r="D945" s="7" t="s">
        <v>529</v>
      </c>
      <c r="E945" s="69"/>
      <c r="G945" s="7" t="s">
        <v>530</v>
      </c>
      <c r="H945" s="95" t="s">
        <v>3227</v>
      </c>
      <c r="I945" s="10"/>
      <c r="J945" s="8">
        <v>10</v>
      </c>
      <c r="K945" s="8"/>
      <c r="L945" s="11"/>
      <c r="M945" s="39" t="s">
        <v>330</v>
      </c>
      <c r="N945" s="43" t="s">
        <v>331</v>
      </c>
      <c r="O945" s="43" t="s">
        <v>332</v>
      </c>
    </row>
    <row r="946" spans="1:15" ht="27" customHeight="1">
      <c r="A946" s="5">
        <v>40177</v>
      </c>
      <c r="B946" s="18" t="s">
        <v>15</v>
      </c>
      <c r="C946" s="34" t="s">
        <v>16</v>
      </c>
      <c r="D946" s="7" t="s">
        <v>527</v>
      </c>
      <c r="E946" s="69"/>
      <c r="G946" s="7" t="s">
        <v>528</v>
      </c>
      <c r="H946" s="95" t="s">
        <v>3227</v>
      </c>
      <c r="I946" s="10"/>
      <c r="J946" s="8">
        <v>10</v>
      </c>
      <c r="K946" s="8"/>
      <c r="L946" s="11"/>
      <c r="M946" s="39" t="s">
        <v>330</v>
      </c>
      <c r="N946" s="43" t="s">
        <v>331</v>
      </c>
      <c r="O946" s="43" t="s">
        <v>332</v>
      </c>
    </row>
    <row r="947" spans="1:15" ht="27">
      <c r="A947" s="5">
        <v>40174</v>
      </c>
      <c r="B947" s="18" t="s">
        <v>15</v>
      </c>
      <c r="C947" s="34" t="s">
        <v>16</v>
      </c>
      <c r="D947" s="7" t="s">
        <v>32</v>
      </c>
      <c r="E947" s="68" t="s">
        <v>525</v>
      </c>
      <c r="F947" s="85" t="str">
        <f>HYPERLINK("https://drive.google.com/file/d/1c7bBdEQswmtR8Kusw2q1SPlWHSGMU-Cf/view?usp=drivesdk","https://drive.google.com/file/d/1c7bBdEQswmtR8Kusw2q1SPlWHSGMU-Cf/view?usp=drivesdk")</f>
        <v>https://drive.google.com/file/d/1c7bBdEQswmtR8Kusw2q1SPlWHSGMU-Cf/view?usp=drivesdk</v>
      </c>
      <c r="G947" s="7" t="s">
        <v>526</v>
      </c>
      <c r="H947" s="95" t="s">
        <v>3208</v>
      </c>
      <c r="I947" s="10"/>
      <c r="J947" s="8">
        <v>79</v>
      </c>
      <c r="K947" s="8">
        <v>733</v>
      </c>
      <c r="L947" s="11">
        <v>0.29930555555555549</v>
      </c>
      <c r="M947" s="39" t="s">
        <v>102</v>
      </c>
      <c r="N947" s="43" t="s">
        <v>194</v>
      </c>
      <c r="O947" s="43" t="s">
        <v>195</v>
      </c>
    </row>
    <row r="948" spans="1:15" ht="27">
      <c r="A948" s="5">
        <v>40170</v>
      </c>
      <c r="B948" s="18" t="s">
        <v>15</v>
      </c>
      <c r="C948" s="34" t="s">
        <v>16</v>
      </c>
      <c r="D948" s="7" t="s">
        <v>32</v>
      </c>
      <c r="E948" s="68" t="s">
        <v>523</v>
      </c>
      <c r="F948" s="85" t="str">
        <f>HYPERLINK("https://drive.google.com/file/d/152NrK1k7XgoJJQHEZrXVfYRPkKs4OJGi/view?usp=drivesdk","https://drive.google.com/file/d/152NrK1k7XgoJJQHEZrXVfYRPkKs4OJGi/view?usp=drivesdk")</f>
        <v>https://drive.google.com/file/d/152NrK1k7XgoJJQHEZrXVfYRPkKs4OJGi/view?usp=drivesdk</v>
      </c>
      <c r="G948" s="7" t="s">
        <v>524</v>
      </c>
      <c r="H948" s="95" t="s">
        <v>3208</v>
      </c>
      <c r="I948" s="10"/>
      <c r="J948" s="8">
        <v>98</v>
      </c>
      <c r="K948" s="8">
        <v>766</v>
      </c>
      <c r="L948" s="11">
        <v>0.36944444444444452</v>
      </c>
      <c r="M948" s="39" t="s">
        <v>102</v>
      </c>
      <c r="N948" s="43" t="s">
        <v>194</v>
      </c>
      <c r="O948" s="43" t="s">
        <v>195</v>
      </c>
    </row>
    <row r="949" spans="1:15">
      <c r="A949" s="5">
        <v>40153</v>
      </c>
      <c r="B949" s="18" t="s">
        <v>15</v>
      </c>
      <c r="C949" s="34" t="s">
        <v>16</v>
      </c>
      <c r="D949" s="7" t="s">
        <v>32</v>
      </c>
      <c r="E949" s="68" t="s">
        <v>521</v>
      </c>
      <c r="F949" s="85" t="str">
        <f>HYPERLINK("https://drive.google.com/file/d/19fBKllusNR5tjui3yyaCBkNWbOIJaf5h/view?usp=drivesdk","https://drive.google.com/file/d/19fBKllusNR5tjui3yyaCBkNWbOIJaf5h/view?usp=drivesdk")</f>
        <v>https://drive.google.com/file/d/19fBKllusNR5tjui3yyaCBkNWbOIJaf5h/view?usp=drivesdk</v>
      </c>
      <c r="G949" s="7" t="s">
        <v>522</v>
      </c>
      <c r="H949" s="95" t="s">
        <v>3208</v>
      </c>
      <c r="I949" s="10"/>
      <c r="J949" s="8">
        <v>84</v>
      </c>
      <c r="K949" s="8">
        <v>766</v>
      </c>
      <c r="L949" s="11">
        <v>0.31944444444444442</v>
      </c>
      <c r="M949" s="39" t="s">
        <v>102</v>
      </c>
      <c r="N949" s="43" t="s">
        <v>194</v>
      </c>
      <c r="O949" s="43" t="s">
        <v>195</v>
      </c>
    </row>
    <row r="950" spans="1:15" ht="27" customHeight="1">
      <c r="A950" s="5">
        <v>40125</v>
      </c>
      <c r="B950" s="18" t="s">
        <v>15</v>
      </c>
      <c r="C950" s="34" t="s">
        <v>16</v>
      </c>
      <c r="D950" s="7" t="s">
        <v>518</v>
      </c>
      <c r="E950" s="68" t="s">
        <v>519</v>
      </c>
      <c r="F950" s="85" t="str">
        <f>HYPERLINK("https://drive.google.com/file/d/1Uhf5iEDDXt3L3Lqk3XjJMUFJimg4J3g0/view?usp=drivesdk","https://drive.google.com/file/d/1Uhf5iEDDXt3L3Lqk3XjJMUFJimg4J3g0/view?usp=drivesdk")</f>
        <v>https://drive.google.com/file/d/1Uhf5iEDDXt3L3Lqk3XjJMUFJimg4J3g0/view?usp=drivesdk</v>
      </c>
      <c r="G950" s="7" t="s">
        <v>520</v>
      </c>
      <c r="H950" s="95" t="s">
        <v>3208</v>
      </c>
      <c r="I950" s="10"/>
      <c r="J950" s="8">
        <v>85</v>
      </c>
      <c r="K950" s="8">
        <v>348</v>
      </c>
      <c r="L950" s="11">
        <v>0.3034722222222222</v>
      </c>
      <c r="M950" s="39" t="s">
        <v>22</v>
      </c>
      <c r="N950" s="43" t="s">
        <v>23</v>
      </c>
      <c r="O950" s="43" t="s">
        <v>24</v>
      </c>
    </row>
    <row r="951" spans="1:15" ht="27">
      <c r="A951" s="5">
        <v>40118</v>
      </c>
      <c r="B951" s="18" t="s">
        <v>15</v>
      </c>
      <c r="C951" s="34" t="s">
        <v>16</v>
      </c>
      <c r="D951" s="7" t="s">
        <v>515</v>
      </c>
      <c r="E951" s="68" t="s">
        <v>516</v>
      </c>
      <c r="F951" s="85" t="str">
        <f>HYPERLINK("https://drive.google.com/file/d/1kC-1K_uJ4E5U59-DrsN27hweUkFXP-IZ/view?usp=drivesdk","https://drive.google.com/file/d/1kC-1K_uJ4E5U59-DrsN27hweUkFXP-IZ/view?usp=drivesdk")</f>
        <v>https://drive.google.com/file/d/1kC-1K_uJ4E5U59-DrsN27hweUkFXP-IZ/view?usp=drivesdk</v>
      </c>
      <c r="G951" s="7" t="s">
        <v>517</v>
      </c>
      <c r="H951" s="95" t="s">
        <v>3223</v>
      </c>
      <c r="I951" s="10"/>
      <c r="J951" s="8">
        <v>68</v>
      </c>
      <c r="K951" s="8">
        <v>289</v>
      </c>
      <c r="L951" s="11">
        <v>0.28333333333333333</v>
      </c>
      <c r="M951" s="39" t="s">
        <v>330</v>
      </c>
      <c r="N951" s="43" t="s">
        <v>331</v>
      </c>
      <c r="O951" s="43" t="s">
        <v>332</v>
      </c>
    </row>
    <row r="952" spans="1:15" ht="13.5">
      <c r="A952" s="5">
        <v>40098</v>
      </c>
      <c r="B952" s="18" t="s">
        <v>15</v>
      </c>
      <c r="C952" s="23" t="s">
        <v>16</v>
      </c>
      <c r="D952" s="7" t="s">
        <v>511</v>
      </c>
      <c r="E952" s="66" t="s">
        <v>512</v>
      </c>
      <c r="F952" s="85" t="str">
        <f>HYPERLINK("https://drive.google.com/file/d/1a6PcxLRMm-ZnnabR4Cqm4ACP0ojXkd_r/view?usp=drivesdk","https://drive.google.com/file/d/1a6PcxLRMm-ZnnabR4Cqm4ACP0ojXkd_r/view?usp=drivesdk")</f>
        <v>https://drive.google.com/file/d/1a6PcxLRMm-ZnnabR4Cqm4ACP0ojXkd_r/view?usp=drivesdk</v>
      </c>
      <c r="G952" s="7" t="s">
        <v>513</v>
      </c>
      <c r="H952" s="95" t="s">
        <v>3232</v>
      </c>
      <c r="I952" s="21"/>
      <c r="J952" s="8">
        <v>171.7</v>
      </c>
      <c r="K952" s="8">
        <v>4258</v>
      </c>
      <c r="L952" s="11" t="s">
        <v>514</v>
      </c>
      <c r="M952" s="39" t="s">
        <v>22</v>
      </c>
      <c r="N952" s="43" t="s">
        <v>23</v>
      </c>
      <c r="O952" s="43" t="s">
        <v>24</v>
      </c>
    </row>
    <row r="953" spans="1:15" ht="40.5" customHeight="1">
      <c r="A953" s="5">
        <v>40096</v>
      </c>
      <c r="B953" s="18" t="s">
        <v>15</v>
      </c>
      <c r="C953" s="23" t="s">
        <v>16</v>
      </c>
      <c r="D953" s="7" t="s">
        <v>508</v>
      </c>
      <c r="E953" s="68" t="s">
        <v>509</v>
      </c>
      <c r="F953" s="85" t="str">
        <f>HYPERLINK("https://drive.google.com/file/d/1xcvnX2b9v_-uR5XyCv8DK2Ee7gzCtFRL/view?usp=drivesdk","https://drive.google.com/file/d/1xcvnX2b9v_-uR5XyCv8DK2Ee7gzCtFRL/view?usp=drivesdk")</f>
        <v>https://drive.google.com/file/d/1xcvnX2b9v_-uR5XyCv8DK2Ee7gzCtFRL/view?usp=drivesdk</v>
      </c>
      <c r="G953" s="7" t="s">
        <v>510</v>
      </c>
      <c r="H953" s="95" t="s">
        <v>3203</v>
      </c>
      <c r="I953" s="10"/>
      <c r="J953" s="8">
        <v>63</v>
      </c>
      <c r="K953" s="8">
        <v>2439</v>
      </c>
      <c r="L953" s="11">
        <v>0.1368055555555556</v>
      </c>
      <c r="M953" s="39" t="s">
        <v>22</v>
      </c>
      <c r="N953" s="43" t="s">
        <v>23</v>
      </c>
      <c r="O953" s="43" t="s">
        <v>24</v>
      </c>
    </row>
    <row r="954" spans="1:15" ht="27">
      <c r="A954" s="5">
        <v>40090</v>
      </c>
      <c r="B954" s="18" t="s">
        <v>15</v>
      </c>
      <c r="C954" s="23" t="s">
        <v>16</v>
      </c>
      <c r="D954" s="7" t="s">
        <v>505</v>
      </c>
      <c r="E954" s="68" t="s">
        <v>506</v>
      </c>
      <c r="F954" s="85" t="str">
        <f>HYPERLINK("https://drive.google.com/file/d/1sGpuTm7njUh29qMvGqfjehkjvqyCgddG/view?usp=drivesdk","https://drive.google.com/file/d/1sGpuTm7njUh29qMvGqfjehkjvqyCgddG/view?usp=drivesdk")</f>
        <v>https://drive.google.com/file/d/1sGpuTm7njUh29qMvGqfjehkjvqyCgddG/view?usp=drivesdk</v>
      </c>
      <c r="G954" s="7" t="s">
        <v>507</v>
      </c>
      <c r="H954" s="95" t="s">
        <v>3348</v>
      </c>
      <c r="I954" s="22"/>
      <c r="J954" s="8">
        <v>170</v>
      </c>
      <c r="K954" s="8">
        <v>4070</v>
      </c>
      <c r="L954" s="11">
        <v>0.37847222222222221</v>
      </c>
      <c r="M954" s="39" t="s">
        <v>22</v>
      </c>
      <c r="N954" s="43" t="s">
        <v>23</v>
      </c>
      <c r="O954" s="43" t="s">
        <v>24</v>
      </c>
    </row>
    <row r="955" spans="1:15" ht="27">
      <c r="A955" s="5">
        <v>40082</v>
      </c>
      <c r="B955" s="18" t="s">
        <v>15</v>
      </c>
      <c r="C955" s="34" t="s">
        <v>16</v>
      </c>
      <c r="D955" s="7" t="s">
        <v>502</v>
      </c>
      <c r="E955" s="68" t="s">
        <v>503</v>
      </c>
      <c r="F955" s="85" t="str">
        <f>HYPERLINK("https://drive.google.com/file/d/1V4pIN1Xd7ENczMIyz3cLeUw2N-uLfnKo/view?usp=drivesdk","https://drive.google.com/file/d/1V4pIN1Xd7ENczMIyz3cLeUw2N-uLfnKo/view?usp=drivesdk")</f>
        <v>https://drive.google.com/file/d/1V4pIN1Xd7ENczMIyz3cLeUw2N-uLfnKo/view?usp=drivesdk</v>
      </c>
      <c r="G955" s="7" t="s">
        <v>504</v>
      </c>
      <c r="H955" s="95" t="s">
        <v>3208</v>
      </c>
      <c r="I955" s="10"/>
      <c r="J955" s="8">
        <v>70</v>
      </c>
      <c r="K955" s="8">
        <v>274</v>
      </c>
      <c r="L955" s="11">
        <v>0.29583333333333328</v>
      </c>
      <c r="M955" s="39" t="s">
        <v>22</v>
      </c>
      <c r="N955" s="43" t="s">
        <v>23</v>
      </c>
      <c r="O955" s="43" t="s">
        <v>24</v>
      </c>
    </row>
    <row r="956" spans="1:15">
      <c r="A956" s="5">
        <v>40079</v>
      </c>
      <c r="B956" s="18" t="s">
        <v>15</v>
      </c>
      <c r="C956" s="34" t="s">
        <v>16</v>
      </c>
      <c r="D956" s="7" t="s">
        <v>32</v>
      </c>
      <c r="E956" s="69"/>
      <c r="G956" s="7" t="s">
        <v>500</v>
      </c>
      <c r="H956" s="95" t="s">
        <v>3208</v>
      </c>
      <c r="I956" s="10"/>
      <c r="J956" s="8">
        <v>60</v>
      </c>
      <c r="K956" s="8"/>
      <c r="L956" s="11"/>
      <c r="M956" s="39" t="s">
        <v>22</v>
      </c>
      <c r="N956" s="43" t="s">
        <v>23</v>
      </c>
      <c r="O956" s="43" t="s">
        <v>24</v>
      </c>
    </row>
    <row r="957" spans="1:15" ht="27" customHeight="1">
      <c r="A957" s="5">
        <v>40076</v>
      </c>
      <c r="B957" s="18" t="s">
        <v>15</v>
      </c>
      <c r="C957" s="7" t="s">
        <v>131</v>
      </c>
      <c r="D957" s="7" t="s">
        <v>284</v>
      </c>
      <c r="E957" s="68" t="s">
        <v>499</v>
      </c>
      <c r="F957" s="85" t="str">
        <f>HYPERLINK("https://drive.google.com/file/d/1MRFB_gbTQ-Dmp65l0xlSSWEH0YKpsz0n/view?usp=drivesdk","https://drive.google.com/file/d/1MRFB_gbTQ-Dmp65l0xlSSWEH0YKpsz0n/view?usp=drivesdk")</f>
        <v>https://drive.google.com/file/d/1MRFB_gbTQ-Dmp65l0xlSSWEH0YKpsz0n/view?usp=drivesdk</v>
      </c>
      <c r="G957" s="7" t="s">
        <v>386</v>
      </c>
      <c r="H957" s="95" t="s">
        <v>3202</v>
      </c>
      <c r="I957" s="10"/>
      <c r="J957" s="8">
        <v>95</v>
      </c>
      <c r="K957" s="8">
        <v>3627</v>
      </c>
      <c r="L957" s="11">
        <v>0.31736111111111109</v>
      </c>
      <c r="M957" s="39" t="s">
        <v>19</v>
      </c>
      <c r="N957" s="43" t="s">
        <v>294</v>
      </c>
      <c r="O957" s="43" t="s">
        <v>295</v>
      </c>
    </row>
    <row r="958" spans="1:15" ht="40.5" customHeight="1">
      <c r="A958" s="5">
        <v>40047</v>
      </c>
      <c r="B958" s="18" t="s">
        <v>15</v>
      </c>
      <c r="C958" s="34" t="s">
        <v>16</v>
      </c>
      <c r="D958" s="7" t="s">
        <v>497</v>
      </c>
      <c r="E958" s="68"/>
      <c r="G958" s="7" t="s">
        <v>498</v>
      </c>
      <c r="H958" s="95" t="s">
        <v>3208</v>
      </c>
      <c r="I958" s="10"/>
      <c r="J958" s="8">
        <v>35</v>
      </c>
      <c r="K958" s="8"/>
      <c r="L958" s="11"/>
      <c r="M958" s="39" t="s">
        <v>19</v>
      </c>
      <c r="N958" s="43" t="s">
        <v>294</v>
      </c>
      <c r="O958" s="43" t="s">
        <v>295</v>
      </c>
    </row>
    <row r="959" spans="1:15" ht="27" customHeight="1">
      <c r="A959" s="5">
        <v>40039</v>
      </c>
      <c r="B959" s="18" t="s">
        <v>15</v>
      </c>
      <c r="C959" s="23" t="s">
        <v>16</v>
      </c>
      <c r="D959" s="7" t="s">
        <v>494</v>
      </c>
      <c r="E959" s="68" t="s">
        <v>495</v>
      </c>
      <c r="F959" s="85" t="str">
        <f>HYPERLINK("https://drive.google.com/file/d/11dHBBQZO8x3dNuetregrhsMEA72-ta68/view?usp=drivesdk","https://drive.google.com/file/d/11dHBBQZO8x3dNuetregrhsMEA72-ta68/view?usp=drivesdk")</f>
        <v>https://drive.google.com/file/d/11dHBBQZO8x3dNuetregrhsMEA72-ta68/view?usp=drivesdk</v>
      </c>
      <c r="G959" s="7" t="s">
        <v>496</v>
      </c>
      <c r="H959" s="73" t="s">
        <v>368</v>
      </c>
      <c r="I959" s="10"/>
      <c r="J959" s="8">
        <v>114</v>
      </c>
      <c r="K959" s="8">
        <v>2820</v>
      </c>
      <c r="L959" s="11">
        <v>0.33958333333333329</v>
      </c>
      <c r="M959" s="39" t="s">
        <v>22</v>
      </c>
      <c r="N959" s="43" t="s">
        <v>23</v>
      </c>
      <c r="O959" s="43" t="s">
        <v>136</v>
      </c>
    </row>
    <row r="960" spans="1:15" ht="27">
      <c r="A960" s="5">
        <v>40037</v>
      </c>
      <c r="B960" s="18" t="s">
        <v>15</v>
      </c>
      <c r="C960" s="23" t="s">
        <v>16</v>
      </c>
      <c r="D960" s="7" t="s">
        <v>491</v>
      </c>
      <c r="E960" s="68" t="s">
        <v>492</v>
      </c>
      <c r="F960" s="85" t="str">
        <f>HYPERLINK("https://drive.google.com/file/d/1pzD2HmVhot5fbEzrVZWEIWeDeenu5IQ0/view?usp=drivesdk","https://drive.google.com/file/d/1pzD2HmVhot5fbEzrVZWEIWeDeenu5IQ0/view?usp=drivesdk")</f>
        <v>https://drive.google.com/file/d/1pzD2HmVhot5fbEzrVZWEIWeDeenu5IQ0/view?usp=drivesdk</v>
      </c>
      <c r="G960" s="7" t="s">
        <v>493</v>
      </c>
      <c r="H960" s="95" t="s">
        <v>3231</v>
      </c>
      <c r="I960" s="10"/>
      <c r="J960" s="8">
        <v>157</v>
      </c>
      <c r="K960" s="8">
        <v>2682</v>
      </c>
      <c r="L960" s="11">
        <v>0.34375</v>
      </c>
      <c r="M960" s="39" t="s">
        <v>22</v>
      </c>
      <c r="N960" s="43" t="s">
        <v>23</v>
      </c>
      <c r="O960" s="43" t="s">
        <v>24</v>
      </c>
    </row>
    <row r="961" spans="1:15" ht="27">
      <c r="A961" s="5">
        <v>40036</v>
      </c>
      <c r="B961" s="18" t="s">
        <v>15</v>
      </c>
      <c r="C961" s="23" t="s">
        <v>16</v>
      </c>
      <c r="D961" s="7" t="s">
        <v>488</v>
      </c>
      <c r="E961" s="68" t="s">
        <v>489</v>
      </c>
      <c r="F961" s="85" t="str">
        <f>HYPERLINK("https://drive.google.com/file/d/1zfFpE57QbTSMYG4RMN8YRGamFIkwkIca/view?usp=drivesdk","https://drive.google.com/file/d/1zfFpE57QbTSMYG4RMN8YRGamFIkwkIca/view?usp=drivesdk")</f>
        <v>https://drive.google.com/file/d/1zfFpE57QbTSMYG4RMN8YRGamFIkwkIca/view?usp=drivesdk</v>
      </c>
      <c r="G961" s="7" t="s">
        <v>490</v>
      </c>
      <c r="H961" s="95" t="s">
        <v>3230</v>
      </c>
      <c r="I961" s="10"/>
      <c r="J961" s="8">
        <v>12</v>
      </c>
      <c r="K961" s="8"/>
      <c r="L961" s="11">
        <v>0.11944444444444451</v>
      </c>
      <c r="M961" s="39" t="s">
        <v>22</v>
      </c>
      <c r="N961" s="43" t="s">
        <v>23</v>
      </c>
      <c r="O961" s="43" t="s">
        <v>24</v>
      </c>
    </row>
    <row r="962" spans="1:15" ht="27">
      <c r="A962" s="5">
        <v>40035</v>
      </c>
      <c r="B962" s="18" t="s">
        <v>15</v>
      </c>
      <c r="C962" s="23" t="s">
        <v>16</v>
      </c>
      <c r="D962" s="7" t="s">
        <v>485</v>
      </c>
      <c r="E962" s="68" t="s">
        <v>486</v>
      </c>
      <c r="F962" s="85" t="str">
        <f>HYPERLINK("https://drive.google.com/file/d/16YziVNwIxpeuv5hLh7dZWtgBx36KIrK4/view?usp=drivesdk","https://drive.google.com/file/d/16YziVNwIxpeuv5hLh7dZWtgBx36KIrK4/view?usp=drivesdk")</f>
        <v>https://drive.google.com/file/d/16YziVNwIxpeuv5hLh7dZWtgBx36KIrK4/view?usp=drivesdk</v>
      </c>
      <c r="G962" s="7" t="s">
        <v>487</v>
      </c>
      <c r="H962" s="95" t="s">
        <v>3230</v>
      </c>
      <c r="I962" s="10"/>
      <c r="J962" s="8">
        <v>131</v>
      </c>
      <c r="K962" s="8">
        <v>1721</v>
      </c>
      <c r="L962" s="11">
        <v>0.41666666666666669</v>
      </c>
      <c r="M962" s="39" t="s">
        <v>22</v>
      </c>
      <c r="N962" s="43" t="s">
        <v>23</v>
      </c>
      <c r="O962" s="43" t="s">
        <v>24</v>
      </c>
    </row>
    <row r="963" spans="1:15" ht="40.5">
      <c r="A963" s="5">
        <v>40014</v>
      </c>
      <c r="B963" s="18" t="s">
        <v>15</v>
      </c>
      <c r="C963" s="23" t="s">
        <v>16</v>
      </c>
      <c r="D963" s="7" t="s">
        <v>482</v>
      </c>
      <c r="E963" s="68" t="s">
        <v>483</v>
      </c>
      <c r="F963" s="85" t="str">
        <f>HYPERLINK("https://drive.google.com/file/d/1io93l_rqNriL3tVF6RG4Ipv3e5aRSUCX/view?usp=drivesdk","https://drive.google.com/file/d/1io93l_rqNriL3tVF6RG4Ipv3e5aRSUCX/view?usp=drivesdk")</f>
        <v>https://drive.google.com/file/d/1io93l_rqNriL3tVF6RG4Ipv3e5aRSUCX/view?usp=drivesdk</v>
      </c>
      <c r="G963" s="7" t="s">
        <v>484</v>
      </c>
      <c r="H963" s="95" t="s">
        <v>3229</v>
      </c>
      <c r="I963" s="10"/>
      <c r="J963" s="8">
        <v>165</v>
      </c>
      <c r="K963" s="8">
        <v>4172</v>
      </c>
      <c r="L963" s="11">
        <v>0.39166666666666672</v>
      </c>
      <c r="M963" s="39" t="s">
        <v>22</v>
      </c>
      <c r="N963" s="43" t="s">
        <v>23</v>
      </c>
      <c r="O963" s="43" t="s">
        <v>136</v>
      </c>
    </row>
    <row r="964" spans="1:15" ht="40.5" customHeight="1">
      <c r="A964" s="5">
        <v>40012</v>
      </c>
      <c r="B964" s="18" t="s">
        <v>15</v>
      </c>
      <c r="C964" s="34" t="s">
        <v>16</v>
      </c>
      <c r="D964" s="7" t="s">
        <v>479</v>
      </c>
      <c r="E964" s="68" t="s">
        <v>480</v>
      </c>
      <c r="F964" s="85" t="str">
        <f>HYPERLINK("https://drive.google.com/file/d/1DIxN5kQ7AFEFt4btgi1cLaK34IjPJ8Wv/view?usp=drivesdk","https://drive.google.com/file/d/1DIxN5kQ7AFEFt4btgi1cLaK34IjPJ8Wv/view?usp=drivesdk")</f>
        <v>https://drive.google.com/file/d/1DIxN5kQ7AFEFt4btgi1cLaK34IjPJ8Wv/view?usp=drivesdk</v>
      </c>
      <c r="G964" s="7" t="s">
        <v>481</v>
      </c>
      <c r="H964" s="73" t="s">
        <v>368</v>
      </c>
      <c r="I964" s="10"/>
      <c r="J964" s="8">
        <v>20</v>
      </c>
      <c r="K964" s="8">
        <v>141</v>
      </c>
      <c r="L964" s="11">
        <v>7.9861111111111105E-2</v>
      </c>
      <c r="M964" s="39" t="s">
        <v>102</v>
      </c>
      <c r="N964" s="43" t="s">
        <v>194</v>
      </c>
      <c r="O964" s="43" t="s">
        <v>195</v>
      </c>
    </row>
    <row r="965" spans="1:15" ht="27" customHeight="1">
      <c r="A965" s="5">
        <v>40006</v>
      </c>
      <c r="B965" s="18" t="s">
        <v>15</v>
      </c>
      <c r="C965" s="34" t="s">
        <v>16</v>
      </c>
      <c r="D965" s="7" t="s">
        <v>32</v>
      </c>
      <c r="E965" s="68" t="s">
        <v>477</v>
      </c>
      <c r="F965" s="85" t="str">
        <f>HYPERLINK("https://drive.google.com/file/d/1oiZtdeHPssYx6PWcX-LRDoNvZDsxKgEL/view?usp=drivesdk","https://drive.google.com/file/d/1oiZtdeHPssYx6PWcX-LRDoNvZDsxKgEL/view?usp=drivesdk")</f>
        <v>https://drive.google.com/file/d/1oiZtdeHPssYx6PWcX-LRDoNvZDsxKgEL/view?usp=drivesdk</v>
      </c>
      <c r="G965" s="7" t="s">
        <v>478</v>
      </c>
      <c r="H965" s="95" t="s">
        <v>3208</v>
      </c>
      <c r="I965" s="10"/>
      <c r="J965" s="8">
        <v>71</v>
      </c>
      <c r="K965" s="8">
        <v>507</v>
      </c>
      <c r="L965" s="11">
        <v>0.2590277777777778</v>
      </c>
      <c r="M965" s="39" t="s">
        <v>102</v>
      </c>
      <c r="N965" s="43" t="s">
        <v>194</v>
      </c>
      <c r="O965" s="43" t="s">
        <v>195</v>
      </c>
    </row>
    <row r="966" spans="1:15" ht="28.5" customHeight="1">
      <c r="A966" s="5">
        <v>39999</v>
      </c>
      <c r="B966" s="18" t="s">
        <v>15</v>
      </c>
      <c r="C966" s="23" t="s">
        <v>16</v>
      </c>
      <c r="D966" s="7" t="s">
        <v>474</v>
      </c>
      <c r="E966" s="68" t="s">
        <v>475</v>
      </c>
      <c r="F966" s="85" t="str">
        <f>HYPERLINK("https://drive.google.com/file/d/1pYtIubYsgifDxDz2eBGyzL0gNdl8bcix/view?usp=drivesdk","https://drive.google.com/file/d/1pYtIubYsgifDxDz2eBGyzL0gNdl8bcix/view?usp=drivesdk")</f>
        <v>https://drive.google.com/file/d/1pYtIubYsgifDxDz2eBGyzL0gNdl8bcix/view?usp=drivesdk</v>
      </c>
      <c r="G966" s="7" t="s">
        <v>476</v>
      </c>
      <c r="H966" s="95" t="s">
        <v>3229</v>
      </c>
      <c r="I966" s="10"/>
      <c r="J966" s="8">
        <v>185</v>
      </c>
      <c r="K966" s="8">
        <v>3628</v>
      </c>
      <c r="L966" s="11">
        <v>0.39097222222222222</v>
      </c>
      <c r="M966" s="39" t="s">
        <v>22</v>
      </c>
      <c r="N966" s="43" t="s">
        <v>23</v>
      </c>
      <c r="O966" s="43" t="s">
        <v>136</v>
      </c>
    </row>
    <row r="967" spans="1:15">
      <c r="A967" s="5">
        <v>39988</v>
      </c>
      <c r="B967" s="18" t="s">
        <v>15</v>
      </c>
      <c r="C967" s="34" t="s">
        <v>16</v>
      </c>
      <c r="D967" s="7" t="s">
        <v>32</v>
      </c>
      <c r="E967" s="68" t="s">
        <v>473</v>
      </c>
      <c r="F967" s="85" t="str">
        <f>HYPERLINK("https://drive.google.com/file/d/1l2_h5C3JTOrvCifHvx6U9WvreH2yRwCL/view?usp=drivesdk","https://drive.google.com/file/d/1l2_h5C3JTOrvCifHvx6U9WvreH2yRwCL/view?usp=drivesdk")</f>
        <v>https://drive.google.com/file/d/1l2_h5C3JTOrvCifHvx6U9WvreH2yRwCL/view?usp=drivesdk</v>
      </c>
      <c r="G967" s="7" t="s">
        <v>469</v>
      </c>
      <c r="H967" s="95" t="s">
        <v>3208</v>
      </c>
      <c r="I967" s="10"/>
      <c r="J967" s="8">
        <v>61</v>
      </c>
      <c r="K967" s="8">
        <v>446</v>
      </c>
      <c r="L967" s="11">
        <v>0.15208333333333329</v>
      </c>
      <c r="M967" s="39" t="s">
        <v>102</v>
      </c>
      <c r="N967" s="43" t="s">
        <v>194</v>
      </c>
      <c r="O967" s="43" t="s">
        <v>195</v>
      </c>
    </row>
    <row r="968" spans="1:15">
      <c r="A968" s="5">
        <v>39984</v>
      </c>
      <c r="B968" s="18" t="s">
        <v>15</v>
      </c>
      <c r="C968" s="34" t="s">
        <v>16</v>
      </c>
      <c r="D968" s="7" t="s">
        <v>470</v>
      </c>
      <c r="E968" s="68" t="s">
        <v>471</v>
      </c>
      <c r="F968" s="85" t="str">
        <f>HYPERLINK("https://drive.google.com/file/d/1rVxllmHbIVY5Ln2BKBgSYIUSN2bokYNx/view?usp=drivesdk","https://drive.google.com/file/d/1rVxllmHbIVY5Ln2BKBgSYIUSN2bokYNx/view?usp=drivesdk")</f>
        <v>https://drive.google.com/file/d/1rVxllmHbIVY5Ln2BKBgSYIUSN2bokYNx/view?usp=drivesdk</v>
      </c>
      <c r="G968" s="7" t="s">
        <v>472</v>
      </c>
      <c r="H968" s="95" t="s">
        <v>3208</v>
      </c>
      <c r="I968" s="10"/>
      <c r="J968" s="8">
        <v>78</v>
      </c>
      <c r="K968" s="8"/>
      <c r="L968" s="11">
        <v>0.26944444444444438</v>
      </c>
      <c r="M968" s="39" t="s">
        <v>22</v>
      </c>
      <c r="N968" s="43" t="s">
        <v>23</v>
      </c>
      <c r="O968" s="43" t="s">
        <v>24</v>
      </c>
    </row>
    <row r="969" spans="1:15" ht="18.75" customHeight="1">
      <c r="A969" s="5">
        <v>39981</v>
      </c>
      <c r="B969" s="18" t="s">
        <v>15</v>
      </c>
      <c r="C969" s="34" t="s">
        <v>16</v>
      </c>
      <c r="D969" s="7" t="s">
        <v>32</v>
      </c>
      <c r="E969" s="69"/>
      <c r="G969" s="7" t="s">
        <v>469</v>
      </c>
      <c r="H969" s="95" t="s">
        <v>3208</v>
      </c>
      <c r="I969" s="10"/>
      <c r="J969" s="8">
        <v>70</v>
      </c>
      <c r="K969" s="8"/>
      <c r="L969" s="11"/>
      <c r="M969" s="39" t="s">
        <v>102</v>
      </c>
      <c r="N969" s="43" t="s">
        <v>194</v>
      </c>
      <c r="O969" s="43" t="s">
        <v>195</v>
      </c>
    </row>
    <row r="970" spans="1:15" ht="27" customHeight="1">
      <c r="A970" s="5">
        <v>39971</v>
      </c>
      <c r="B970" s="18" t="s">
        <v>15</v>
      </c>
      <c r="C970" s="7" t="s">
        <v>131</v>
      </c>
      <c r="D970" s="7" t="s">
        <v>468</v>
      </c>
      <c r="E970" s="69"/>
      <c r="G970" s="7" t="s">
        <v>133</v>
      </c>
      <c r="H970" s="95" t="s">
        <v>3199</v>
      </c>
      <c r="I970" s="10"/>
      <c r="J970" s="8">
        <v>24</v>
      </c>
      <c r="K970" s="8">
        <v>1255</v>
      </c>
      <c r="L970" s="11">
        <v>5.7638888888888892E-2</v>
      </c>
      <c r="M970" s="39" t="s">
        <v>22</v>
      </c>
      <c r="N970" s="43" t="s">
        <v>23</v>
      </c>
      <c r="O970" s="43" t="s">
        <v>136</v>
      </c>
    </row>
    <row r="971" spans="1:15" ht="40.5" customHeight="1">
      <c r="A971" s="5">
        <v>39936</v>
      </c>
      <c r="B971" s="18" t="s">
        <v>15</v>
      </c>
      <c r="C971" s="34" t="s">
        <v>16</v>
      </c>
      <c r="D971" s="7" t="s">
        <v>466</v>
      </c>
      <c r="E971" s="69"/>
      <c r="G971" s="7" t="s">
        <v>467</v>
      </c>
      <c r="H971" s="95" t="s">
        <v>3227</v>
      </c>
      <c r="I971" s="10"/>
      <c r="J971" s="8">
        <v>20</v>
      </c>
      <c r="K971" s="8"/>
      <c r="L971" s="11"/>
      <c r="M971" s="39" t="s">
        <v>330</v>
      </c>
      <c r="N971" s="43" t="s">
        <v>331</v>
      </c>
      <c r="O971" s="43" t="s">
        <v>332</v>
      </c>
    </row>
    <row r="972" spans="1:15" ht="40.5" customHeight="1">
      <c r="A972" s="5">
        <v>39935</v>
      </c>
      <c r="B972" s="18" t="s">
        <v>15</v>
      </c>
      <c r="C972" s="23" t="s">
        <v>16</v>
      </c>
      <c r="D972" s="7" t="s">
        <v>463</v>
      </c>
      <c r="E972" s="68" t="s">
        <v>464</v>
      </c>
      <c r="F972" s="85" t="str">
        <f>HYPERLINK("https://drive.google.com/file/d/1NXefuEFTUOLGT1M3n-u60qu5Nw7_A9Vd/view?usp=drivesdk","https://drive.google.com/file/d/1NXefuEFTUOLGT1M3n-u60qu5Nw7_A9Vd/view?usp=drivesdk")</f>
        <v>https://drive.google.com/file/d/1NXefuEFTUOLGT1M3n-u60qu5Nw7_A9Vd/view?usp=drivesdk</v>
      </c>
      <c r="G972" s="7" t="s">
        <v>465</v>
      </c>
      <c r="H972" s="95" t="s">
        <v>3228</v>
      </c>
      <c r="I972" s="10"/>
      <c r="J972" s="8">
        <v>183</v>
      </c>
      <c r="K972" s="8">
        <v>1735</v>
      </c>
      <c r="L972" s="11">
        <v>0.4375</v>
      </c>
      <c r="M972" s="39" t="s">
        <v>22</v>
      </c>
      <c r="N972" s="43" t="s">
        <v>23</v>
      </c>
      <c r="O972" s="43" t="s">
        <v>136</v>
      </c>
    </row>
    <row r="973" spans="1:15" ht="27">
      <c r="A973" s="5">
        <v>39934</v>
      </c>
      <c r="B973" s="18" t="s">
        <v>15</v>
      </c>
      <c r="C973" s="34" t="s">
        <v>16</v>
      </c>
      <c r="D973" s="7" t="s">
        <v>460</v>
      </c>
      <c r="E973" s="68" t="s">
        <v>461</v>
      </c>
      <c r="F973" s="85" t="str">
        <f>HYPERLINK("https://drive.google.com/file/d/1zovfNnPfW5jEsJqdYbttMSa3PJG5bjyY/view?usp=drivesdk","https://drive.google.com/file/d/1zovfNnPfW5jEsJqdYbttMSa3PJG5bjyY/view?usp=drivesdk")</f>
        <v>https://drive.google.com/file/d/1zovfNnPfW5jEsJqdYbttMSa3PJG5bjyY/view?usp=drivesdk</v>
      </c>
      <c r="G973" s="7" t="s">
        <v>462</v>
      </c>
      <c r="H973" s="95" t="s">
        <v>3227</v>
      </c>
      <c r="I973" s="10"/>
      <c r="J973" s="8">
        <v>28</v>
      </c>
      <c r="K973" s="8">
        <v>259</v>
      </c>
      <c r="L973" s="11">
        <v>0.1701388888888889</v>
      </c>
      <c r="M973" s="39" t="s">
        <v>22</v>
      </c>
      <c r="N973" s="43" t="s">
        <v>23</v>
      </c>
      <c r="O973" s="43" t="s">
        <v>24</v>
      </c>
    </row>
    <row r="974" spans="1:15">
      <c r="A974" s="5">
        <v>39933</v>
      </c>
      <c r="B974" s="18" t="s">
        <v>15</v>
      </c>
      <c r="C974" s="23" t="s">
        <v>16</v>
      </c>
      <c r="D974" s="7" t="s">
        <v>457</v>
      </c>
      <c r="E974" s="68" t="s">
        <v>458</v>
      </c>
      <c r="F974" s="85" t="str">
        <f>HYPERLINK("https://drive.google.com/file/d/1n5sogRyLYMTkAwppIPiUQUBE_8l9Wzsd/view?usp=drivesdk","https://drive.google.com/file/d/1n5sogRyLYMTkAwppIPiUQUBE_8l9Wzsd/view?usp=drivesdk")</f>
        <v>https://drive.google.com/file/d/1n5sogRyLYMTkAwppIPiUQUBE_8l9Wzsd/view?usp=drivesdk</v>
      </c>
      <c r="G974" s="7" t="s">
        <v>459</v>
      </c>
      <c r="H974" s="95" t="s">
        <v>3227</v>
      </c>
      <c r="I974" s="10"/>
      <c r="J974" s="8">
        <v>166</v>
      </c>
      <c r="K974" s="8">
        <v>2167</v>
      </c>
      <c r="L974" s="11">
        <v>0.33402777777777781</v>
      </c>
      <c r="M974" s="39" t="s">
        <v>22</v>
      </c>
      <c r="N974" s="43" t="s">
        <v>23</v>
      </c>
      <c r="O974" s="43" t="s">
        <v>136</v>
      </c>
    </row>
    <row r="975" spans="1:15" ht="27" customHeight="1">
      <c r="A975" s="5">
        <v>39922</v>
      </c>
      <c r="B975" s="18" t="s">
        <v>15</v>
      </c>
      <c r="C975" s="7" t="s">
        <v>131</v>
      </c>
      <c r="D975" s="7" t="s">
        <v>351</v>
      </c>
      <c r="E975" s="69"/>
      <c r="G975" s="7" t="s">
        <v>353</v>
      </c>
      <c r="H975" s="95" t="s">
        <v>3224</v>
      </c>
      <c r="I975" s="10"/>
      <c r="J975" s="8">
        <v>13</v>
      </c>
      <c r="K975" s="8"/>
      <c r="L975" s="11">
        <v>3.1944444444444442E-2</v>
      </c>
      <c r="M975" s="39" t="s">
        <v>22</v>
      </c>
      <c r="N975" s="43" t="s">
        <v>23</v>
      </c>
      <c r="O975" s="43" t="s">
        <v>136</v>
      </c>
    </row>
    <row r="976" spans="1:15" ht="18.75">
      <c r="A976" s="5">
        <v>39915</v>
      </c>
      <c r="B976" s="18" t="s">
        <v>15</v>
      </c>
      <c r="C976" s="34" t="s">
        <v>16</v>
      </c>
      <c r="D976" s="7" t="s">
        <v>27</v>
      </c>
      <c r="E976" s="68" t="s">
        <v>456</v>
      </c>
      <c r="F976" s="85" t="str">
        <f>HYPERLINK("https://drive.google.com/file/d/1zj8znhPHhetwwgHCfYNyiZFkQf5fmFRP/view?usp=drivesdk","https://drive.google.com/file/d/1zj8znhPHhetwwgHCfYNyiZFkQf5fmFRP/view?usp=drivesdk")</f>
        <v>https://drive.google.com/file/d/1zj8znhPHhetwwgHCfYNyiZFkQf5fmFRP/view?usp=drivesdk</v>
      </c>
      <c r="G976" s="7" t="s">
        <v>455</v>
      </c>
      <c r="H976" s="95" t="s">
        <v>3208</v>
      </c>
      <c r="I976" s="81" t="s">
        <v>29</v>
      </c>
      <c r="J976" s="8">
        <v>21</v>
      </c>
      <c r="K976" s="8">
        <v>907</v>
      </c>
      <c r="L976" s="11">
        <v>4.027777777777778E-2</v>
      </c>
      <c r="M976" s="39" t="s">
        <v>22</v>
      </c>
      <c r="N976" s="43" t="s">
        <v>23</v>
      </c>
      <c r="O976" s="43" t="s">
        <v>136</v>
      </c>
    </row>
    <row r="977" spans="1:15" ht="27" customHeight="1">
      <c r="A977" s="5">
        <v>39914</v>
      </c>
      <c r="B977" s="18" t="s">
        <v>15</v>
      </c>
      <c r="C977" s="34" t="s">
        <v>16</v>
      </c>
      <c r="D977" s="7" t="s">
        <v>27</v>
      </c>
      <c r="E977" s="68" t="s">
        <v>454</v>
      </c>
      <c r="F977" s="85" t="str">
        <f>HYPERLINK("https://drive.google.com/file/d/18X1WrgmX8lAH1pXrEzpKa4WHV-IkT9jY/view?usp=drivesdk","https://drive.google.com/file/d/18X1WrgmX8lAH1pXrEzpKa4WHV-IkT9jY/view?usp=drivesdk")</f>
        <v>https://drive.google.com/file/d/18X1WrgmX8lAH1pXrEzpKa4WHV-IkT9jY/view?usp=drivesdk</v>
      </c>
      <c r="G977" s="7" t="s">
        <v>455</v>
      </c>
      <c r="H977" s="95" t="s">
        <v>3208</v>
      </c>
      <c r="I977" s="81" t="s">
        <v>29</v>
      </c>
      <c r="J977" s="8">
        <v>21</v>
      </c>
      <c r="K977" s="8">
        <v>907</v>
      </c>
      <c r="L977" s="11">
        <v>4.1666666666666657E-2</v>
      </c>
      <c r="M977" s="39" t="s">
        <v>22</v>
      </c>
      <c r="N977" s="43" t="s">
        <v>23</v>
      </c>
      <c r="O977" s="43" t="s">
        <v>136</v>
      </c>
    </row>
    <row r="978" spans="1:15" ht="27">
      <c r="A978" s="5">
        <v>39908</v>
      </c>
      <c r="B978" s="18" t="s">
        <v>15</v>
      </c>
      <c r="C978" s="34" t="s">
        <v>16</v>
      </c>
      <c r="D978" s="7" t="s">
        <v>32</v>
      </c>
      <c r="E978" s="68" t="s">
        <v>452</v>
      </c>
      <c r="F978" s="85" t="str">
        <f>HYPERLINK("https://drive.google.com/file/d/1R7TsrbdT8zHTJmb7EYYfNY_FsYCcAuYp/view?usp=drivesdk","https://drive.google.com/file/d/1R7TsrbdT8zHTJmb7EYYfNY_FsYCcAuYp/view?usp=drivesdk")</f>
        <v>https://drive.google.com/file/d/1R7TsrbdT8zHTJmb7EYYfNY_FsYCcAuYp/view?usp=drivesdk</v>
      </c>
      <c r="G978" s="7" t="s">
        <v>453</v>
      </c>
      <c r="H978" s="95" t="s">
        <v>3208</v>
      </c>
      <c r="I978" s="24" t="s">
        <v>40</v>
      </c>
      <c r="J978" s="8">
        <v>57</v>
      </c>
      <c r="K978" s="8">
        <v>732</v>
      </c>
      <c r="L978" s="11">
        <v>0.28125</v>
      </c>
      <c r="M978" s="39" t="s">
        <v>330</v>
      </c>
      <c r="N978" s="43" t="s">
        <v>331</v>
      </c>
      <c r="O978" s="43" t="s">
        <v>332</v>
      </c>
    </row>
    <row r="979" spans="1:15" ht="27" customHeight="1">
      <c r="A979" s="5">
        <v>39907</v>
      </c>
      <c r="B979" s="18" t="s">
        <v>15</v>
      </c>
      <c r="C979" s="34" t="s">
        <v>16</v>
      </c>
      <c r="D979" s="7" t="s">
        <v>27</v>
      </c>
      <c r="E979" s="68" t="s">
        <v>451</v>
      </c>
      <c r="F979" s="85" t="str">
        <f>HYPERLINK("https://drive.google.com/file/d/13i7amjkE67sEva6zPqXp3rwRkD3503MH/view?usp=drivesdk","https://drive.google.com/file/d/13i7amjkE67sEva6zPqXp3rwRkD3503MH/view?usp=drivesdk")</f>
        <v>https://drive.google.com/file/d/13i7amjkE67sEva6zPqXp3rwRkD3503MH/view?usp=drivesdk</v>
      </c>
      <c r="G979" s="7" t="s">
        <v>346</v>
      </c>
      <c r="H979" s="95" t="s">
        <v>3208</v>
      </c>
      <c r="I979" s="81" t="s">
        <v>29</v>
      </c>
      <c r="J979" s="8">
        <v>125</v>
      </c>
      <c r="K979" s="8">
        <v>2312</v>
      </c>
      <c r="L979" s="11">
        <v>0.25486111111111109</v>
      </c>
      <c r="M979" s="39" t="s">
        <v>22</v>
      </c>
      <c r="N979" s="43" t="s">
        <v>23</v>
      </c>
      <c r="O979" s="43" t="s">
        <v>136</v>
      </c>
    </row>
    <row r="980" spans="1:15" ht="27" customHeight="1">
      <c r="A980" s="5">
        <v>39904</v>
      </c>
      <c r="B980" s="18" t="s">
        <v>15</v>
      </c>
      <c r="C980" s="34" t="s">
        <v>16</v>
      </c>
      <c r="D980" s="7" t="s">
        <v>449</v>
      </c>
      <c r="E980" s="69"/>
      <c r="G980" s="7" t="s">
        <v>450</v>
      </c>
      <c r="H980" s="95" t="s">
        <v>3208</v>
      </c>
      <c r="I980" s="24" t="s">
        <v>40</v>
      </c>
      <c r="J980" s="8">
        <v>12</v>
      </c>
      <c r="K980" s="8"/>
      <c r="L980" s="11"/>
      <c r="M980" s="39" t="s">
        <v>102</v>
      </c>
      <c r="N980" s="43" t="s">
        <v>194</v>
      </c>
      <c r="O980" s="43" t="s">
        <v>195</v>
      </c>
    </row>
    <row r="981" spans="1:15">
      <c r="A981" s="5">
        <v>39901</v>
      </c>
      <c r="B981" s="18" t="s">
        <v>15</v>
      </c>
      <c r="C981" s="34" t="s">
        <v>16</v>
      </c>
      <c r="D981" s="7" t="s">
        <v>447</v>
      </c>
      <c r="E981" s="69"/>
      <c r="G981" s="7" t="s">
        <v>448</v>
      </c>
      <c r="H981" s="95" t="s">
        <v>3208</v>
      </c>
      <c r="I981" s="24" t="s">
        <v>40</v>
      </c>
      <c r="J981" s="8">
        <v>40</v>
      </c>
      <c r="K981" s="8"/>
      <c r="L981" s="11"/>
      <c r="M981" s="39" t="s">
        <v>330</v>
      </c>
      <c r="N981" s="43" t="s">
        <v>331</v>
      </c>
      <c r="O981" s="43" t="s">
        <v>332</v>
      </c>
    </row>
    <row r="982" spans="1:15" ht="27" customHeight="1">
      <c r="A982" s="5">
        <v>39900</v>
      </c>
      <c r="B982" s="18" t="s">
        <v>15</v>
      </c>
      <c r="C982" s="34" t="s">
        <v>16</v>
      </c>
      <c r="D982" s="7" t="s">
        <v>27</v>
      </c>
      <c r="E982" s="68" t="s">
        <v>444</v>
      </c>
      <c r="F982" s="85" t="str">
        <f>HYPERLINK("https://drive.google.com/file/d/1x6Hdy7azPpmgovgqWs1wbetOlJoNqVT5/view?usp=drivesdk","https://drive.google.com/file/d/1x6Hdy7azPpmgovgqWs1wbetOlJoNqVT5/view?usp=drivesdk")</f>
        <v>https://drive.google.com/file/d/1x6Hdy7azPpmgovgqWs1wbetOlJoNqVT5/view?usp=drivesdk</v>
      </c>
      <c r="G982" s="7" t="s">
        <v>346</v>
      </c>
      <c r="H982" s="95" t="s">
        <v>3208</v>
      </c>
      <c r="I982" s="81" t="s">
        <v>29</v>
      </c>
      <c r="J982" s="8">
        <v>105</v>
      </c>
      <c r="K982" s="8">
        <v>1489</v>
      </c>
      <c r="L982" s="11">
        <v>0.2388888888888889</v>
      </c>
      <c r="M982" s="39" t="s">
        <v>22</v>
      </c>
      <c r="N982" s="43" t="s">
        <v>23</v>
      </c>
      <c r="O982" s="43" t="s">
        <v>136</v>
      </c>
    </row>
    <row r="983" spans="1:15" ht="27">
      <c r="A983" s="5">
        <v>39900</v>
      </c>
      <c r="B983" s="18" t="s">
        <v>15</v>
      </c>
      <c r="C983" s="34" t="s">
        <v>16</v>
      </c>
      <c r="D983" s="7" t="s">
        <v>445</v>
      </c>
      <c r="E983" s="68" t="s">
        <v>446</v>
      </c>
      <c r="G983" s="7" t="s">
        <v>442</v>
      </c>
      <c r="H983" s="95" t="s">
        <v>3208</v>
      </c>
      <c r="I983" s="24" t="s">
        <v>40</v>
      </c>
      <c r="J983" s="8">
        <v>25</v>
      </c>
      <c r="K983" s="8">
        <v>117</v>
      </c>
      <c r="L983" s="11">
        <v>9.7916666666666666E-2</v>
      </c>
      <c r="M983" s="39" t="s">
        <v>22</v>
      </c>
      <c r="N983" s="43" t="s">
        <v>23</v>
      </c>
      <c r="O983" s="43" t="s">
        <v>24</v>
      </c>
    </row>
    <row r="984" spans="1:15" ht="27" customHeight="1">
      <c r="A984" s="5">
        <v>39893</v>
      </c>
      <c r="B984" s="18" t="s">
        <v>15</v>
      </c>
      <c r="C984" s="34" t="s">
        <v>16</v>
      </c>
      <c r="D984" s="7" t="s">
        <v>27</v>
      </c>
      <c r="E984" s="68" t="s">
        <v>443</v>
      </c>
      <c r="F984" s="85" t="str">
        <f>HYPERLINK("https://drive.google.com/file/d/1ZtbU1NoM5-jZlHFT-iSTPRr4DqARBGLc/view?usp=drivesdk","https://drive.google.com/file/d/1ZtbU1NoM5-jZlHFT-iSTPRr4DqARBGLc/view?usp=drivesdk")</f>
        <v>https://drive.google.com/file/d/1ZtbU1NoM5-jZlHFT-iSTPRr4DqARBGLc/view?usp=drivesdk</v>
      </c>
      <c r="G984" s="7" t="s">
        <v>346</v>
      </c>
      <c r="H984" s="95" t="s">
        <v>3208</v>
      </c>
      <c r="I984" s="81" t="s">
        <v>29</v>
      </c>
      <c r="J984" s="8">
        <v>105</v>
      </c>
      <c r="K984" s="8">
        <v>1844</v>
      </c>
      <c r="L984" s="11">
        <v>0.2166666666666667</v>
      </c>
      <c r="M984" s="39" t="s">
        <v>22</v>
      </c>
      <c r="N984" s="43" t="s">
        <v>23</v>
      </c>
      <c r="O984" s="43" t="s">
        <v>136</v>
      </c>
    </row>
    <row r="985" spans="1:15">
      <c r="A985" s="5">
        <v>39892</v>
      </c>
      <c r="B985" s="18" t="s">
        <v>15</v>
      </c>
      <c r="C985" s="34" t="s">
        <v>16</v>
      </c>
      <c r="D985" s="21" t="s">
        <v>441</v>
      </c>
      <c r="E985" s="68"/>
      <c r="G985" s="21" t="s">
        <v>442</v>
      </c>
      <c r="H985" s="95" t="s">
        <v>3208</v>
      </c>
      <c r="I985" s="40"/>
      <c r="J985" s="41">
        <v>30</v>
      </c>
      <c r="K985" s="41"/>
      <c r="L985" s="46"/>
      <c r="M985" s="39" t="s">
        <v>102</v>
      </c>
      <c r="N985" s="43" t="s">
        <v>194</v>
      </c>
      <c r="O985" s="43" t="s">
        <v>195</v>
      </c>
    </row>
    <row r="986" spans="1:15" ht="27" customHeight="1">
      <c r="A986" s="5">
        <v>39887</v>
      </c>
      <c r="B986" s="18" t="s">
        <v>15</v>
      </c>
      <c r="C986" s="34" t="s">
        <v>16</v>
      </c>
      <c r="D986" s="7" t="s">
        <v>27</v>
      </c>
      <c r="E986" s="68" t="s">
        <v>439</v>
      </c>
      <c r="F986" s="85" t="str">
        <f>HYPERLINK("https://drive.google.com/file/d/1n3TG62_PbX6kR79gKIWo67GtdK-qNfmq/view?usp=drivesdk","https://drive.google.com/file/d/1n3TG62_PbX6kR79gKIWo67GtdK-qNfmq/view?usp=drivesdk")</f>
        <v>https://drive.google.com/file/d/1n3TG62_PbX6kR79gKIWo67GtdK-qNfmq/view?usp=drivesdk</v>
      </c>
      <c r="G986" s="7" t="s">
        <v>440</v>
      </c>
      <c r="H986" s="95" t="s">
        <v>3208</v>
      </c>
      <c r="I986" s="81" t="s">
        <v>29</v>
      </c>
      <c r="J986" s="8">
        <v>103</v>
      </c>
      <c r="K986" s="8">
        <v>1750</v>
      </c>
      <c r="L986" s="11">
        <v>0.22916666666666671</v>
      </c>
      <c r="M986" s="39" t="s">
        <v>22</v>
      </c>
      <c r="N986" s="43" t="s">
        <v>23</v>
      </c>
      <c r="O986" s="43" t="s">
        <v>136</v>
      </c>
    </row>
    <row r="987" spans="1:15" ht="40.5" customHeight="1">
      <c r="A987" s="5">
        <v>39880</v>
      </c>
      <c r="B987" s="18" t="s">
        <v>15</v>
      </c>
      <c r="C987" s="34" t="s">
        <v>16</v>
      </c>
      <c r="D987" s="7" t="s">
        <v>349</v>
      </c>
      <c r="E987" s="68" t="s">
        <v>437</v>
      </c>
      <c r="F987" s="85" t="str">
        <f>HYPERLINK("https://drive.google.com/file/d/1nqYlUfrZp12Gif-pABEGaK9xDrj2j9mp/view?usp=drivesdk","https://drive.google.com/file/d/1nqYlUfrZp12Gif-pABEGaK9xDrj2j9mp/view?usp=drivesdk")</f>
        <v>https://drive.google.com/file/d/1nqYlUfrZp12Gif-pABEGaK9xDrj2j9mp/view?usp=drivesdk</v>
      </c>
      <c r="G987" s="7" t="s">
        <v>438</v>
      </c>
      <c r="H987" s="95" t="s">
        <v>3209</v>
      </c>
      <c r="I987" s="10"/>
      <c r="J987" s="8">
        <v>86</v>
      </c>
      <c r="K987" s="8">
        <v>1603</v>
      </c>
      <c r="L987" s="11">
        <v>0.2076388888888889</v>
      </c>
      <c r="M987" s="39" t="s">
        <v>22</v>
      </c>
      <c r="N987" s="43" t="s">
        <v>23</v>
      </c>
      <c r="O987" s="43" t="s">
        <v>136</v>
      </c>
    </row>
    <row r="988" spans="1:15" ht="14.25" customHeight="1">
      <c r="A988" s="5">
        <v>39879</v>
      </c>
      <c r="B988" s="18" t="s">
        <v>15</v>
      </c>
      <c r="C988" s="34" t="s">
        <v>16</v>
      </c>
      <c r="D988" s="7" t="s">
        <v>430</v>
      </c>
      <c r="E988" s="68" t="s">
        <v>435</v>
      </c>
      <c r="F988" s="85" t="str">
        <f>HYPERLINK("https://drive.google.com/file/d/1K3KWACwM2IBtuc95xLjuDQl5wCt-JGzx/view?usp=drivesdk","https://drive.google.com/file/d/1K3KWACwM2IBtuc95xLjuDQl5wCt-JGzx/view?usp=drivesdk")</f>
        <v>https://drive.google.com/file/d/1K3KWACwM2IBtuc95xLjuDQl5wCt-JGzx/view?usp=drivesdk</v>
      </c>
      <c r="G988" s="7" t="s">
        <v>436</v>
      </c>
      <c r="H988" s="95" t="s">
        <v>3209</v>
      </c>
      <c r="I988" s="10"/>
      <c r="J988" s="8">
        <v>96</v>
      </c>
      <c r="K988" s="8">
        <v>2066</v>
      </c>
      <c r="L988" s="11">
        <v>0.19513888888888889</v>
      </c>
      <c r="M988" s="39" t="s">
        <v>22</v>
      </c>
      <c r="N988" s="43" t="s">
        <v>23</v>
      </c>
      <c r="O988" s="43" t="s">
        <v>136</v>
      </c>
    </row>
    <row r="989" spans="1:15" ht="18.75">
      <c r="A989" s="5">
        <v>39873</v>
      </c>
      <c r="B989" s="18" t="s">
        <v>15</v>
      </c>
      <c r="C989" s="34" t="s">
        <v>16</v>
      </c>
      <c r="D989" s="7" t="s">
        <v>27</v>
      </c>
      <c r="E989" s="68" t="s">
        <v>433</v>
      </c>
      <c r="F989" s="85" t="str">
        <f>HYPERLINK("https://drive.google.com/file/d/1VvmUT1ESJZXUMeJ_5urHCbFc4psrYDDr/view?usp=drivesdk","https://drive.google.com/file/d/1VvmUT1ESJZXUMeJ_5urHCbFc4psrYDDr/view?usp=drivesdk")</f>
        <v>https://drive.google.com/file/d/1VvmUT1ESJZXUMeJ_5urHCbFc4psrYDDr/view?usp=drivesdk</v>
      </c>
      <c r="G989" s="7" t="s">
        <v>434</v>
      </c>
      <c r="H989" s="95" t="s">
        <v>3208</v>
      </c>
      <c r="I989" s="81" t="s">
        <v>29</v>
      </c>
      <c r="J989" s="8">
        <v>98</v>
      </c>
      <c r="K989" s="8">
        <v>1821</v>
      </c>
      <c r="L989" s="11">
        <v>0.20624999999999999</v>
      </c>
      <c r="M989" s="39" t="s">
        <v>22</v>
      </c>
      <c r="N989" s="43" t="s">
        <v>23</v>
      </c>
      <c r="O989" s="43" t="s">
        <v>136</v>
      </c>
    </row>
    <row r="990" spans="1:15" ht="27">
      <c r="A990" s="5">
        <v>39872</v>
      </c>
      <c r="B990" s="18" t="s">
        <v>15</v>
      </c>
      <c r="C990" s="34" t="s">
        <v>16</v>
      </c>
      <c r="D990" s="7" t="s">
        <v>430</v>
      </c>
      <c r="E990" s="68" t="s">
        <v>431</v>
      </c>
      <c r="F990" s="85" t="str">
        <f>HYPERLINK("https://drive.google.com/file/d/1wIqEtVQ5toDfvsqyzJI_T1Vv2RFY834y/view?usp=drivesdk","https://drive.google.com/file/d/1wIqEtVQ5toDfvsqyzJI_T1Vv2RFY834y/view?usp=drivesdk")</f>
        <v>https://drive.google.com/file/d/1wIqEtVQ5toDfvsqyzJI_T1Vv2RFY834y/view?usp=drivesdk</v>
      </c>
      <c r="G990" s="7" t="s">
        <v>432</v>
      </c>
      <c r="H990" s="95" t="s">
        <v>3209</v>
      </c>
      <c r="I990" s="10"/>
      <c r="J990" s="8">
        <v>98</v>
      </c>
      <c r="K990" s="8">
        <v>1766</v>
      </c>
      <c r="L990" s="11">
        <v>0.20347222222222219</v>
      </c>
      <c r="M990" s="39" t="s">
        <v>22</v>
      </c>
      <c r="N990" s="43" t="s">
        <v>23</v>
      </c>
      <c r="O990" s="43" t="s">
        <v>136</v>
      </c>
    </row>
    <row r="991" spans="1:15" ht="14.25" customHeight="1">
      <c r="A991" s="5">
        <v>39866</v>
      </c>
      <c r="B991" s="18" t="s">
        <v>15</v>
      </c>
      <c r="C991" s="34" t="s">
        <v>16</v>
      </c>
      <c r="D991" s="7" t="s">
        <v>32</v>
      </c>
      <c r="E991" s="69"/>
      <c r="G991" s="7" t="s">
        <v>429</v>
      </c>
      <c r="H991" s="95" t="s">
        <v>3208</v>
      </c>
      <c r="I991" s="10"/>
      <c r="J991" s="8">
        <v>50</v>
      </c>
      <c r="K991" s="8"/>
      <c r="L991" s="11"/>
      <c r="M991" s="39" t="s">
        <v>22</v>
      </c>
      <c r="N991" s="43" t="s">
        <v>23</v>
      </c>
      <c r="O991" s="43" t="s">
        <v>24</v>
      </c>
    </row>
    <row r="992" spans="1:15" ht="14.25" customHeight="1">
      <c r="A992" s="5">
        <v>39865</v>
      </c>
      <c r="B992" s="18" t="s">
        <v>15</v>
      </c>
      <c r="C992" s="34" t="s">
        <v>16</v>
      </c>
      <c r="D992" s="7" t="s">
        <v>426</v>
      </c>
      <c r="E992" s="68" t="s">
        <v>427</v>
      </c>
      <c r="F992" s="85" t="str">
        <f>HYPERLINK("https://drive.google.com/file/d/1vHG1FQ8fDO1eGooil0AeCdId2IZiPxSE/view?usp=drivesdk","https://drive.google.com/file/d/1vHG1FQ8fDO1eGooil0AeCdId2IZiPxSE/view?usp=drivesdk")</f>
        <v>https://drive.google.com/file/d/1vHG1FQ8fDO1eGooil0AeCdId2IZiPxSE/view?usp=drivesdk</v>
      </c>
      <c r="G992" s="7" t="s">
        <v>428</v>
      </c>
      <c r="H992" s="95" t="s">
        <v>3209</v>
      </c>
      <c r="I992" s="10"/>
      <c r="J992" s="8">
        <v>104</v>
      </c>
      <c r="K992" s="8">
        <v>1953</v>
      </c>
      <c r="L992" s="11">
        <v>0.2479166666666667</v>
      </c>
      <c r="M992" s="39" t="s">
        <v>22</v>
      </c>
      <c r="N992" s="43" t="s">
        <v>23</v>
      </c>
      <c r="O992" s="43" t="s">
        <v>136</v>
      </c>
    </row>
    <row r="993" spans="1:15" ht="27" customHeight="1">
      <c r="A993" s="5">
        <v>39858</v>
      </c>
      <c r="B993" s="18" t="s">
        <v>15</v>
      </c>
      <c r="C993" s="34" t="s">
        <v>16</v>
      </c>
      <c r="D993" s="7" t="s">
        <v>17</v>
      </c>
      <c r="E993" s="69"/>
      <c r="G993" s="7" t="s">
        <v>425</v>
      </c>
      <c r="H993" s="95" t="s">
        <v>3208</v>
      </c>
      <c r="I993" s="10"/>
      <c r="J993" s="8">
        <v>20</v>
      </c>
      <c r="K993" s="8"/>
      <c r="L993" s="11"/>
      <c r="M993" s="39" t="s">
        <v>22</v>
      </c>
      <c r="N993" s="43" t="s">
        <v>23</v>
      </c>
      <c r="O993" s="43" t="s">
        <v>24</v>
      </c>
    </row>
    <row r="994" spans="1:15" ht="27" customHeight="1">
      <c r="A994" s="5">
        <v>39852</v>
      </c>
      <c r="B994" s="18" t="s">
        <v>15</v>
      </c>
      <c r="C994" s="23" t="s">
        <v>16</v>
      </c>
      <c r="D994" s="7" t="s">
        <v>354</v>
      </c>
      <c r="E994" s="68" t="s">
        <v>423</v>
      </c>
      <c r="F994" s="85" t="str">
        <f>HYPERLINK("https://drive.google.com/file/d/133mtW7VIr5_wT70wtfBD-oY-RVw0EduM/view?usp=drivesdk","https://drive.google.com/file/d/133mtW7VIr5_wT70wtfBD-oY-RVw0EduM/view?usp=drivesdk")</f>
        <v>https://drive.google.com/file/d/133mtW7VIr5_wT70wtfBD-oY-RVw0EduM/view?usp=drivesdk</v>
      </c>
      <c r="G994" s="7" t="s">
        <v>424</v>
      </c>
      <c r="H994" s="95" t="s">
        <v>3225</v>
      </c>
      <c r="I994" s="10" t="s">
        <v>357</v>
      </c>
      <c r="J994" s="8">
        <v>196</v>
      </c>
      <c r="K994" s="8">
        <v>3841</v>
      </c>
      <c r="L994" s="11">
        <v>0.43263888888888891</v>
      </c>
      <c r="M994" s="39" t="s">
        <v>22</v>
      </c>
      <c r="N994" s="43" t="s">
        <v>23</v>
      </c>
      <c r="O994" s="43" t="s">
        <v>136</v>
      </c>
    </row>
    <row r="995" spans="1:15" ht="27" customHeight="1">
      <c r="A995" s="5">
        <v>39851</v>
      </c>
      <c r="B995" s="18" t="s">
        <v>15</v>
      </c>
      <c r="C995" s="34" t="s">
        <v>16</v>
      </c>
      <c r="D995" s="7" t="s">
        <v>420</v>
      </c>
      <c r="E995" s="68" t="s">
        <v>421</v>
      </c>
      <c r="F995" s="85" t="str">
        <f>HYPERLINK("https://drive.google.com/file/d/1QnGdKh6XkXKPpRzopIfIEDNh0PuGUxkk/view?usp=drivesdk","https://drive.google.com/file/d/1QnGdKh6XkXKPpRzopIfIEDNh0PuGUxkk/view?usp=drivesdk")</f>
        <v>https://drive.google.com/file/d/1QnGdKh6XkXKPpRzopIfIEDNh0PuGUxkk/view?usp=drivesdk</v>
      </c>
      <c r="G995" s="7" t="s">
        <v>422</v>
      </c>
      <c r="H995" s="95" t="s">
        <v>3225</v>
      </c>
      <c r="I995" s="24" t="s">
        <v>40</v>
      </c>
      <c r="J995" s="8">
        <v>12</v>
      </c>
      <c r="K995" s="8">
        <v>22</v>
      </c>
      <c r="L995" s="11">
        <v>6.1805555555555558E-2</v>
      </c>
      <c r="M995" s="39" t="s">
        <v>22</v>
      </c>
      <c r="N995" s="43" t="s">
        <v>23</v>
      </c>
      <c r="O995" s="43" t="s">
        <v>136</v>
      </c>
    </row>
    <row r="996" spans="1:15" ht="27" customHeight="1">
      <c r="A996" s="5">
        <v>39845</v>
      </c>
      <c r="B996" s="18" t="s">
        <v>15</v>
      </c>
      <c r="C996" s="34" t="s">
        <v>16</v>
      </c>
      <c r="D996" s="7" t="s">
        <v>174</v>
      </c>
      <c r="E996" s="69"/>
      <c r="G996" s="7" t="s">
        <v>419</v>
      </c>
      <c r="H996" s="95" t="s">
        <v>3209</v>
      </c>
      <c r="I996" s="10"/>
      <c r="J996" s="8">
        <v>80</v>
      </c>
      <c r="K996" s="8"/>
      <c r="L996" s="11"/>
      <c r="M996" s="39" t="s">
        <v>22</v>
      </c>
      <c r="N996" s="43" t="s">
        <v>23</v>
      </c>
      <c r="O996" s="43" t="s">
        <v>136</v>
      </c>
    </row>
    <row r="997" spans="1:15" ht="40.5" customHeight="1">
      <c r="A997" s="5">
        <v>39838</v>
      </c>
      <c r="B997" s="18" t="s">
        <v>15</v>
      </c>
      <c r="C997" s="34" t="s">
        <v>16</v>
      </c>
      <c r="D997" s="7" t="s">
        <v>170</v>
      </c>
      <c r="E997" s="68" t="s">
        <v>417</v>
      </c>
      <c r="F997" s="85" t="str">
        <f>HYPERLINK("https://drive.google.com/file/d/1sisB-m8Nd9TNyrsFIHuJZyYZruj71Oww/view?usp=drivesdk","https://drive.google.com/file/d/1sisB-m8Nd9TNyrsFIHuJZyYZruj71Oww/view?usp=drivesdk")</f>
        <v>https://drive.google.com/file/d/1sisB-m8Nd9TNyrsFIHuJZyYZruj71Oww/view?usp=drivesdk</v>
      </c>
      <c r="G997" s="7" t="s">
        <v>418</v>
      </c>
      <c r="H997" s="95" t="s">
        <v>3209</v>
      </c>
      <c r="I997" s="10"/>
      <c r="J997" s="8">
        <v>75</v>
      </c>
      <c r="K997" s="8">
        <v>802</v>
      </c>
      <c r="L997" s="11">
        <v>0.24027777777777781</v>
      </c>
      <c r="M997" s="39" t="s">
        <v>22</v>
      </c>
      <c r="N997" s="43" t="s">
        <v>23</v>
      </c>
      <c r="O997" s="43" t="s">
        <v>136</v>
      </c>
    </row>
    <row r="998" spans="1:15" ht="40.5" customHeight="1">
      <c r="A998" s="5">
        <v>39831</v>
      </c>
      <c r="B998" s="18" t="s">
        <v>15</v>
      </c>
      <c r="C998" s="23" t="s">
        <v>196</v>
      </c>
      <c r="D998" s="7" t="s">
        <v>414</v>
      </c>
      <c r="E998" s="68" t="s">
        <v>415</v>
      </c>
      <c r="F998" s="85" t="str">
        <f>HYPERLINK("https://drive.google.com/file/d/1qO4XBPafMWRCFouHvFWs7_IUx5K1sOU9/view?usp=drivesdk","https://drive.google.com/file/d/1qO4XBPafMWRCFouHvFWs7_IUx5K1sOU9/view?usp=drivesdk")</f>
        <v>https://drive.google.com/file/d/1qO4XBPafMWRCFouHvFWs7_IUx5K1sOU9/view?usp=drivesdk</v>
      </c>
      <c r="G998" s="7" t="s">
        <v>416</v>
      </c>
      <c r="H998" s="95" t="s">
        <v>3215</v>
      </c>
      <c r="I998" s="10"/>
      <c r="J998" s="8">
        <v>27</v>
      </c>
      <c r="K998" s="8">
        <v>504</v>
      </c>
      <c r="L998" s="11">
        <v>0.20624999999999999</v>
      </c>
      <c r="M998" s="39" t="s">
        <v>19</v>
      </c>
      <c r="N998" s="43" t="s">
        <v>294</v>
      </c>
      <c r="O998" s="43" t="s">
        <v>295</v>
      </c>
    </row>
    <row r="999" spans="1:15" ht="40.5" customHeight="1">
      <c r="A999" s="5">
        <v>39824</v>
      </c>
      <c r="B999" s="18" t="s">
        <v>15</v>
      </c>
      <c r="C999" s="7" t="s">
        <v>131</v>
      </c>
      <c r="D999" s="10" t="s">
        <v>412</v>
      </c>
      <c r="E999" s="69"/>
      <c r="G999" s="64" t="s">
        <v>413</v>
      </c>
      <c r="H999" s="95" t="s">
        <v>3215</v>
      </c>
      <c r="I999" s="10"/>
      <c r="J999" s="8"/>
      <c r="K999" s="8"/>
      <c r="L999" s="11"/>
      <c r="M999" s="39" t="s">
        <v>265</v>
      </c>
      <c r="N999" s="43" t="s">
        <v>265</v>
      </c>
      <c r="O999" s="43" t="s">
        <v>265</v>
      </c>
    </row>
    <row r="1000" spans="1:15" ht="27">
      <c r="A1000" s="5">
        <v>39817</v>
      </c>
      <c r="B1000" s="18" t="s">
        <v>15</v>
      </c>
      <c r="C1000" s="23" t="s">
        <v>16</v>
      </c>
      <c r="D1000" s="7" t="s">
        <v>298</v>
      </c>
      <c r="E1000" s="68" t="s">
        <v>411</v>
      </c>
      <c r="F1000" s="85" t="str">
        <f>HYPERLINK("https://drive.google.com/file/d/1hi0MBeBCqAogRd652nPTWEAOY6fVIFP4/view?usp=drivesdk","https://drive.google.com/file/d/1hi0MBeBCqAogRd652nPTWEAOY6fVIFP4/view?usp=drivesdk")</f>
        <v>https://drive.google.com/file/d/1hi0MBeBCqAogRd652nPTWEAOY6fVIFP4/view?usp=drivesdk</v>
      </c>
      <c r="G1000" s="7" t="s">
        <v>3226</v>
      </c>
      <c r="H1000" s="95" t="s">
        <v>3354</v>
      </c>
      <c r="I1000" s="10"/>
      <c r="J1000" s="8">
        <v>159</v>
      </c>
      <c r="K1000" s="8">
        <v>266</v>
      </c>
      <c r="L1000" s="11">
        <v>0.3298611111111111</v>
      </c>
      <c r="M1000" s="39" t="s">
        <v>22</v>
      </c>
      <c r="N1000" s="43" t="s">
        <v>23</v>
      </c>
      <c r="O1000" s="43" t="s">
        <v>136</v>
      </c>
    </row>
    <row r="1001" spans="1:15">
      <c r="A1001" s="5">
        <v>39816</v>
      </c>
      <c r="B1001" s="18" t="s">
        <v>15</v>
      </c>
      <c r="C1001" s="34" t="s">
        <v>16</v>
      </c>
      <c r="D1001" s="7" t="s">
        <v>18</v>
      </c>
      <c r="E1001" s="69"/>
      <c r="G1001" s="7" t="s">
        <v>18</v>
      </c>
      <c r="H1001" s="95" t="s">
        <v>3208</v>
      </c>
      <c r="I1001" s="10"/>
      <c r="J1001" s="8">
        <v>1</v>
      </c>
      <c r="K1001" s="8">
        <v>0</v>
      </c>
      <c r="L1001" s="11"/>
      <c r="M1001" s="39" t="s">
        <v>330</v>
      </c>
      <c r="N1001" s="43" t="s">
        <v>331</v>
      </c>
      <c r="O1001" s="43" t="s">
        <v>332</v>
      </c>
    </row>
    <row r="1002" spans="1:15">
      <c r="A1002" s="5">
        <v>39789</v>
      </c>
      <c r="B1002" s="18" t="s">
        <v>15</v>
      </c>
      <c r="C1002" s="34" t="s">
        <v>16</v>
      </c>
      <c r="D1002" s="7" t="s">
        <v>32</v>
      </c>
      <c r="E1002" s="68" t="s">
        <v>409</v>
      </c>
      <c r="F1002" s="85" t="str">
        <f>HYPERLINK("https://drive.google.com/file/d/1ekpWvf5sIIrJheMEYwdQvOOOr8bI4lSK/view?usp=drivesdk","https://drive.google.com/file/d/1ekpWvf5sIIrJheMEYwdQvOOOr8bI4lSK/view?usp=drivesdk")</f>
        <v>https://drive.google.com/file/d/1ekpWvf5sIIrJheMEYwdQvOOOr8bI4lSK/view?usp=drivesdk</v>
      </c>
      <c r="G1002" s="7" t="s">
        <v>410</v>
      </c>
      <c r="H1002" s="95" t="s">
        <v>3208</v>
      </c>
      <c r="I1002" s="10"/>
      <c r="J1002" s="8">
        <v>83</v>
      </c>
      <c r="K1002" s="8">
        <v>346</v>
      </c>
      <c r="L1002" s="11">
        <v>0.2388888888888889</v>
      </c>
      <c r="M1002" s="39" t="s">
        <v>22</v>
      </c>
      <c r="N1002" s="43" t="s">
        <v>23</v>
      </c>
      <c r="O1002" s="43" t="s">
        <v>136</v>
      </c>
    </row>
    <row r="1003" spans="1:15" ht="27" customHeight="1">
      <c r="A1003" s="5">
        <v>39782</v>
      </c>
      <c r="B1003" s="18" t="s">
        <v>15</v>
      </c>
      <c r="C1003" s="34" t="s">
        <v>16</v>
      </c>
      <c r="D1003" s="7" t="s">
        <v>32</v>
      </c>
      <c r="E1003" s="68" t="s">
        <v>407</v>
      </c>
      <c r="F1003" s="85" t="str">
        <f>HYPERLINK("https://drive.google.com/file/d/1uYqp4LwE4HLMXJ-xYjHGfWr5mhIWVvcd/view?usp=drivesdk","https://drive.google.com/file/d/1uYqp4LwE4HLMXJ-xYjHGfWr5mhIWVvcd/view?usp=drivesdk")</f>
        <v>https://drive.google.com/file/d/1uYqp4LwE4HLMXJ-xYjHGfWr5mhIWVvcd/view?usp=drivesdk</v>
      </c>
      <c r="G1003" s="7" t="s">
        <v>408</v>
      </c>
      <c r="H1003" s="95" t="s">
        <v>3208</v>
      </c>
      <c r="I1003" s="40"/>
      <c r="J1003" s="41">
        <v>27</v>
      </c>
      <c r="K1003" s="41">
        <v>184</v>
      </c>
      <c r="L1003" s="46">
        <v>0.1854166666666667</v>
      </c>
      <c r="M1003" s="39" t="s">
        <v>102</v>
      </c>
      <c r="N1003" s="43" t="s">
        <v>194</v>
      </c>
      <c r="O1003" s="43" t="s">
        <v>195</v>
      </c>
    </row>
    <row r="1004" spans="1:15" ht="27" customHeight="1">
      <c r="A1004" s="5">
        <v>39775</v>
      </c>
      <c r="B1004" s="18" t="s">
        <v>15</v>
      </c>
      <c r="C1004" s="34" t="s">
        <v>16</v>
      </c>
      <c r="D1004" s="7" t="s">
        <v>32</v>
      </c>
      <c r="E1004" s="68" t="s">
        <v>405</v>
      </c>
      <c r="F1004" s="85" t="str">
        <f>HYPERLINK("https://drive.google.com/file/d/1MbLdDlODGu6PO9Va8ubuSJ2KA3lpnPWI/view?usp=drivesdk","https://drive.google.com/file/d/1MbLdDlODGu6PO9Va8ubuSJ2KA3lpnPWI/view?usp=drivesdk")</f>
        <v>https://drive.google.com/file/d/1MbLdDlODGu6PO9Va8ubuSJ2KA3lpnPWI/view?usp=drivesdk</v>
      </c>
      <c r="G1004" s="7" t="s">
        <v>406</v>
      </c>
      <c r="H1004" s="95" t="s">
        <v>3208</v>
      </c>
      <c r="I1004" s="15" t="s">
        <v>404</v>
      </c>
      <c r="J1004" s="8">
        <v>26</v>
      </c>
      <c r="K1004" s="8">
        <v>230</v>
      </c>
      <c r="L1004" s="11">
        <v>0.19444444444444439</v>
      </c>
      <c r="M1004" s="39" t="s">
        <v>330</v>
      </c>
      <c r="N1004" s="43" t="s">
        <v>331</v>
      </c>
      <c r="O1004" s="43" t="s">
        <v>332</v>
      </c>
    </row>
    <row r="1005" spans="1:15" ht="27" customHeight="1">
      <c r="A1005" s="5">
        <v>39774</v>
      </c>
      <c r="B1005" s="18" t="s">
        <v>15</v>
      </c>
      <c r="C1005" s="23" t="s">
        <v>17</v>
      </c>
      <c r="D1005" s="7" t="s">
        <v>17</v>
      </c>
      <c r="E1005" s="69"/>
      <c r="G1005" s="7" t="s">
        <v>18</v>
      </c>
      <c r="H1005" s="95" t="s">
        <v>3208</v>
      </c>
      <c r="I1005" s="15" t="s">
        <v>404</v>
      </c>
      <c r="J1005" s="8">
        <v>50</v>
      </c>
      <c r="K1005" s="8"/>
      <c r="L1005" s="11"/>
      <c r="M1005" s="39" t="s">
        <v>102</v>
      </c>
      <c r="N1005" s="43" t="s">
        <v>194</v>
      </c>
      <c r="O1005" s="43" t="s">
        <v>195</v>
      </c>
    </row>
    <row r="1006" spans="1:15" ht="27">
      <c r="A1006" s="5">
        <v>39754</v>
      </c>
      <c r="B1006" s="18" t="s">
        <v>15</v>
      </c>
      <c r="C1006" s="23" t="s">
        <v>223</v>
      </c>
      <c r="D1006" s="7" t="s">
        <v>402</v>
      </c>
      <c r="E1006" s="69"/>
      <c r="G1006" s="7" t="s">
        <v>403</v>
      </c>
      <c r="H1006" s="73" t="s">
        <v>3203</v>
      </c>
      <c r="I1006" s="10"/>
      <c r="J1006" s="8">
        <v>25</v>
      </c>
      <c r="K1006" s="8"/>
      <c r="L1006" s="11"/>
      <c r="M1006" s="39" t="s">
        <v>19</v>
      </c>
      <c r="N1006" s="43" t="s">
        <v>294</v>
      </c>
      <c r="O1006" s="43" t="s">
        <v>295</v>
      </c>
    </row>
    <row r="1007" spans="1:15" ht="40.5" customHeight="1">
      <c r="A1007" s="5">
        <v>39747</v>
      </c>
      <c r="B1007" s="18" t="s">
        <v>15</v>
      </c>
      <c r="C1007" s="34" t="s">
        <v>16</v>
      </c>
      <c r="D1007" s="7" t="s">
        <v>401</v>
      </c>
      <c r="E1007" s="69"/>
      <c r="G1007" s="7"/>
      <c r="H1007" s="95" t="s">
        <v>3196</v>
      </c>
      <c r="I1007" s="10"/>
      <c r="J1007" s="8">
        <v>30</v>
      </c>
      <c r="K1007" s="8"/>
      <c r="L1007" s="11"/>
      <c r="M1007" s="39" t="s">
        <v>102</v>
      </c>
      <c r="N1007" s="43" t="s">
        <v>194</v>
      </c>
      <c r="O1007" s="43" t="s">
        <v>195</v>
      </c>
    </row>
    <row r="1008" spans="1:15" ht="27" customHeight="1">
      <c r="A1008" s="5">
        <v>39739</v>
      </c>
      <c r="B1008" s="18" t="s">
        <v>15</v>
      </c>
      <c r="C1008" s="34" t="s">
        <v>16</v>
      </c>
      <c r="D1008" s="7" t="s">
        <v>32</v>
      </c>
      <c r="E1008" s="68" t="s">
        <v>399</v>
      </c>
      <c r="F1008" s="85" t="str">
        <f>HYPERLINK("https://drive.google.com/file/d/1DCrtCys-vYQL4cJLFKHOgrp_e38evEgu/view?usp=drivesdk","https://drive.google.com/file/d/1DCrtCys-vYQL4cJLFKHOgrp_e38evEgu/view?usp=drivesdk")</f>
        <v>https://drive.google.com/file/d/1DCrtCys-vYQL4cJLFKHOgrp_e38evEgu/view?usp=drivesdk</v>
      </c>
      <c r="G1008" s="7" t="s">
        <v>400</v>
      </c>
      <c r="H1008" s="95" t="s">
        <v>3198</v>
      </c>
      <c r="I1008" s="10"/>
      <c r="J1008" s="8">
        <v>82</v>
      </c>
      <c r="K1008" s="8">
        <v>431</v>
      </c>
      <c r="L1008" s="11">
        <v>0.27708333333333329</v>
      </c>
      <c r="M1008" s="39" t="s">
        <v>22</v>
      </c>
      <c r="N1008" s="43" t="s">
        <v>23</v>
      </c>
      <c r="O1008" s="43" t="s">
        <v>24</v>
      </c>
    </row>
    <row r="1009" spans="1:15" ht="27">
      <c r="A1009" s="5">
        <v>39734</v>
      </c>
      <c r="B1009" s="18" t="s">
        <v>15</v>
      </c>
      <c r="C1009" s="34" t="s">
        <v>16</v>
      </c>
      <c r="D1009" s="7" t="s">
        <v>32</v>
      </c>
      <c r="E1009" s="68" t="s">
        <v>397</v>
      </c>
      <c r="F1009" s="85" t="str">
        <f>HYPERLINK("https://drive.google.com/file/d/1ckXgV7C-BSabfJTW0fX33pIMk4e6oE1q/view?usp=drivesdk","https://drive.google.com/file/d/1ckXgV7C-BSabfJTW0fX33pIMk4e6oE1q/view?usp=drivesdk")</f>
        <v>https://drive.google.com/file/d/1ckXgV7C-BSabfJTW0fX33pIMk4e6oE1q/view?usp=drivesdk</v>
      </c>
      <c r="G1009" s="7" t="s">
        <v>398</v>
      </c>
      <c r="H1009" s="95" t="s">
        <v>3198</v>
      </c>
      <c r="I1009" s="10"/>
      <c r="J1009" s="8">
        <v>27</v>
      </c>
      <c r="K1009" s="8">
        <v>191</v>
      </c>
      <c r="L1009" s="11">
        <v>0.19444444444444439</v>
      </c>
      <c r="M1009" s="39" t="s">
        <v>330</v>
      </c>
      <c r="N1009" s="43" t="s">
        <v>331</v>
      </c>
      <c r="O1009" s="43" t="s">
        <v>332</v>
      </c>
    </row>
    <row r="1010" spans="1:15" ht="27" customHeight="1">
      <c r="A1010" s="5">
        <v>39726</v>
      </c>
      <c r="B1010" s="18" t="s">
        <v>15</v>
      </c>
      <c r="C1010" s="34" t="s">
        <v>16</v>
      </c>
      <c r="D1010" s="7" t="s">
        <v>32</v>
      </c>
      <c r="E1010" s="68" t="s">
        <v>395</v>
      </c>
      <c r="F1010" s="85" t="str">
        <f>HYPERLINK("https://drive.google.com/file/d/1foIgVt4Q-NxdtTu5g1h8phnkzlCLbJAK/view?usp=drivesdk","https://drive.google.com/file/d/1foIgVt4Q-NxdtTu5g1h8phnkzlCLbJAK/view?usp=drivesdk")</f>
        <v>https://drive.google.com/file/d/1foIgVt4Q-NxdtTu5g1h8phnkzlCLbJAK/view?usp=drivesdk</v>
      </c>
      <c r="G1010" s="7" t="s">
        <v>396</v>
      </c>
      <c r="H1010" s="95" t="s">
        <v>3198</v>
      </c>
      <c r="I1010" s="10"/>
      <c r="J1010" s="8">
        <v>73</v>
      </c>
      <c r="K1010" s="8">
        <v>191</v>
      </c>
      <c r="L1010" s="11">
        <v>0.30069444444444438</v>
      </c>
      <c r="M1010" s="39" t="s">
        <v>330</v>
      </c>
      <c r="N1010" s="43" t="s">
        <v>331</v>
      </c>
      <c r="O1010" s="43" t="s">
        <v>332</v>
      </c>
    </row>
    <row r="1011" spans="1:15" ht="27">
      <c r="A1011" s="5">
        <v>39725</v>
      </c>
      <c r="B1011" s="18" t="s">
        <v>15</v>
      </c>
      <c r="C1011" s="23" t="s">
        <v>16</v>
      </c>
      <c r="D1011" s="7" t="s">
        <v>392</v>
      </c>
      <c r="E1011" s="68" t="s">
        <v>393</v>
      </c>
      <c r="F1011" s="85" t="str">
        <f>HYPERLINK("https://drive.google.com/file/d/1-NHWrW0ccNwx9fIn4ZMagYWJrZvc3s9h/view?usp=drivesdk","https://drive.google.com/file/d/1-NHWrW0ccNwx9fIn4ZMagYWJrZvc3s9h/view?usp=drivesdk")</f>
        <v>https://drive.google.com/file/d/1-NHWrW0ccNwx9fIn4ZMagYWJrZvc3s9h/view?usp=drivesdk</v>
      </c>
      <c r="G1011" s="7" t="s">
        <v>394</v>
      </c>
      <c r="H1011" s="95" t="s">
        <v>3198</v>
      </c>
      <c r="I1011" s="10"/>
      <c r="J1011" s="8">
        <v>130</v>
      </c>
      <c r="K1011" s="8">
        <v>1849</v>
      </c>
      <c r="L1011" s="11">
        <v>0.30555555555555558</v>
      </c>
      <c r="M1011" s="39" t="s">
        <v>22</v>
      </c>
      <c r="N1011" s="43" t="s">
        <v>23</v>
      </c>
      <c r="O1011" s="43" t="s">
        <v>136</v>
      </c>
    </row>
    <row r="1012" spans="1:15" ht="27" customHeight="1">
      <c r="A1012" s="5">
        <v>39719</v>
      </c>
      <c r="B1012" s="18" t="s">
        <v>15</v>
      </c>
      <c r="C1012" s="23" t="s">
        <v>16</v>
      </c>
      <c r="D1012" s="7" t="s">
        <v>389</v>
      </c>
      <c r="E1012" s="68" t="s">
        <v>390</v>
      </c>
      <c r="F1012" s="85" t="str">
        <f>HYPERLINK("https://drive.google.com/file/d/1DoS_sEat-6X1V_UvkVFZcTzfAztnkk3y/view?usp=drivesdk","https://drive.google.com/file/d/1DoS_sEat-6X1V_UvkVFZcTzfAztnkk3y/view?usp=drivesdk")</f>
        <v>https://drive.google.com/file/d/1DoS_sEat-6X1V_UvkVFZcTzfAztnkk3y/view?usp=drivesdk</v>
      </c>
      <c r="G1012" s="7" t="s">
        <v>391</v>
      </c>
      <c r="H1012" s="95" t="s">
        <v>3209</v>
      </c>
      <c r="I1012" s="10"/>
      <c r="J1012" s="8">
        <v>150</v>
      </c>
      <c r="K1012" s="8">
        <v>1605</v>
      </c>
      <c r="L1012" s="11">
        <v>0.35138888888888892</v>
      </c>
      <c r="M1012" s="39" t="s">
        <v>22</v>
      </c>
      <c r="N1012" s="43" t="s">
        <v>23</v>
      </c>
      <c r="O1012" s="43" t="s">
        <v>136</v>
      </c>
    </row>
    <row r="1013" spans="1:15" ht="27" customHeight="1">
      <c r="A1013" s="5">
        <v>39718</v>
      </c>
      <c r="B1013" s="18" t="s">
        <v>15</v>
      </c>
      <c r="C1013" s="23" t="s">
        <v>16</v>
      </c>
      <c r="D1013" s="7" t="s">
        <v>241</v>
      </c>
      <c r="E1013" s="68" t="s">
        <v>387</v>
      </c>
      <c r="F1013" s="85" t="str">
        <f>HYPERLINK("https://drive.google.com/file/d/1U0ru69SZdQOdkWKmJknNN9M7KF0_QBUq/view?usp=drivesdk","https://drive.google.com/file/d/1U0ru69SZdQOdkWKmJknNN9M7KF0_QBUq/view?usp=drivesdk")</f>
        <v>https://drive.google.com/file/d/1U0ru69SZdQOdkWKmJknNN9M7KF0_QBUq/view?usp=drivesdk</v>
      </c>
      <c r="G1013" s="7" t="s">
        <v>388</v>
      </c>
      <c r="H1013" s="95" t="s">
        <v>3207</v>
      </c>
      <c r="I1013" s="70" t="s">
        <v>244</v>
      </c>
      <c r="J1013" s="8">
        <v>140</v>
      </c>
      <c r="K1013" s="8">
        <v>3210</v>
      </c>
      <c r="L1013" s="11">
        <v>0.53333333333333333</v>
      </c>
      <c r="M1013" s="39" t="s">
        <v>22</v>
      </c>
      <c r="N1013" s="43" t="s">
        <v>23</v>
      </c>
      <c r="O1013" s="43" t="s">
        <v>24</v>
      </c>
    </row>
    <row r="1014" spans="1:15">
      <c r="A1014" s="5">
        <v>39705</v>
      </c>
      <c r="B1014" s="18" t="s">
        <v>15</v>
      </c>
      <c r="C1014" s="7" t="s">
        <v>131</v>
      </c>
      <c r="D1014" s="7" t="s">
        <v>284</v>
      </c>
      <c r="E1014" s="68" t="s">
        <v>385</v>
      </c>
      <c r="F1014" s="85" t="str">
        <f>HYPERLINK("https://drive.google.com/file/d/1Sohi1RTSwEMlH6gULyhYeDqOpmprIBwN/view?usp=drivesdk","https://drive.google.com/file/d/1Sohi1RTSwEMlH6gULyhYeDqOpmprIBwN/view?usp=drivesdk")</f>
        <v>https://drive.google.com/file/d/1Sohi1RTSwEMlH6gULyhYeDqOpmprIBwN/view?usp=drivesdk</v>
      </c>
      <c r="G1014" s="7" t="s">
        <v>386</v>
      </c>
      <c r="H1014" s="73" t="s">
        <v>138</v>
      </c>
      <c r="I1014" s="10"/>
      <c r="J1014" s="8">
        <v>91</v>
      </c>
      <c r="K1014" s="8">
        <v>2995</v>
      </c>
      <c r="L1014" s="11">
        <v>0.3347222222222222</v>
      </c>
      <c r="M1014" s="39" t="s">
        <v>19</v>
      </c>
      <c r="N1014" s="43" t="s">
        <v>294</v>
      </c>
      <c r="O1014" s="43" t="s">
        <v>295</v>
      </c>
    </row>
    <row r="1015" spans="1:15">
      <c r="A1015" s="5">
        <v>39698</v>
      </c>
      <c r="B1015" s="18" t="s">
        <v>15</v>
      </c>
      <c r="C1015" s="23" t="s">
        <v>223</v>
      </c>
      <c r="D1015" s="7" t="s">
        <v>384</v>
      </c>
      <c r="E1015" s="69"/>
      <c r="G1015" s="7" t="s">
        <v>384</v>
      </c>
      <c r="H1015" s="95" t="s">
        <v>3215</v>
      </c>
      <c r="I1015" s="10"/>
      <c r="J1015" s="8">
        <v>40</v>
      </c>
      <c r="K1015" s="8"/>
      <c r="L1015" s="11"/>
      <c r="M1015" s="39" t="s">
        <v>19</v>
      </c>
      <c r="N1015" s="43" t="s">
        <v>294</v>
      </c>
      <c r="O1015" s="43" t="s">
        <v>295</v>
      </c>
    </row>
    <row r="1016" spans="1:15" ht="14.25" customHeight="1">
      <c r="A1016" s="5">
        <v>39691</v>
      </c>
      <c r="B1016" s="18" t="s">
        <v>15</v>
      </c>
      <c r="C1016" s="7" t="s">
        <v>131</v>
      </c>
      <c r="D1016" s="7" t="s">
        <v>273</v>
      </c>
      <c r="E1016" s="68" t="s">
        <v>382</v>
      </c>
      <c r="F1016" s="85" t="str">
        <f>HYPERLINK("https://drive.google.com/file/d/1YDqTjaujAk5hPYcuXokOSsjTOS21dFaP/view?usp=drivesdk","https://drive.google.com/file/d/1YDqTjaujAk5hPYcuXokOSsjTOS21dFaP/view?usp=drivesdk")</f>
        <v>https://drive.google.com/file/d/1YDqTjaujAk5hPYcuXokOSsjTOS21dFaP/view?usp=drivesdk</v>
      </c>
      <c r="G1016" s="7" t="s">
        <v>383</v>
      </c>
      <c r="H1016" s="95" t="s">
        <v>3202</v>
      </c>
      <c r="I1016" s="23" t="s">
        <v>276</v>
      </c>
      <c r="J1016" s="8">
        <v>21</v>
      </c>
      <c r="K1016" s="8">
        <v>1260</v>
      </c>
      <c r="L1016" s="11">
        <v>6.0416666666666667E-2</v>
      </c>
      <c r="M1016" s="39" t="s">
        <v>22</v>
      </c>
      <c r="N1016" s="43" t="s">
        <v>23</v>
      </c>
      <c r="O1016" s="43" t="s">
        <v>136</v>
      </c>
    </row>
    <row r="1017" spans="1:15" ht="27" customHeight="1">
      <c r="A1017" s="5">
        <v>39683</v>
      </c>
      <c r="B1017" s="18" t="s">
        <v>15</v>
      </c>
      <c r="C1017" s="34" t="s">
        <v>16</v>
      </c>
      <c r="D1017" s="7" t="s">
        <v>32</v>
      </c>
      <c r="E1017" s="68" t="s">
        <v>380</v>
      </c>
      <c r="F1017" s="85" t="str">
        <f>HYPERLINK("https://drive.google.com/file/d/1BKFBxd5wH_KocFQ7M5LdOVCiEjywAINz/view?usp=drivesdk","https://drive.google.com/file/d/1BKFBxd5wH_KocFQ7M5LdOVCiEjywAINz/view?usp=drivesdk")</f>
        <v>https://drive.google.com/file/d/1BKFBxd5wH_KocFQ7M5LdOVCiEjywAINz/view?usp=drivesdk</v>
      </c>
      <c r="G1017" s="7" t="s">
        <v>381</v>
      </c>
      <c r="H1017" s="95" t="s">
        <v>3208</v>
      </c>
      <c r="I1017" s="10"/>
      <c r="J1017" s="8">
        <v>103</v>
      </c>
      <c r="K1017" s="8">
        <v>419</v>
      </c>
      <c r="L1017" s="11">
        <v>0.28611111111111109</v>
      </c>
      <c r="M1017" s="39" t="s">
        <v>22</v>
      </c>
      <c r="N1017" s="43" t="s">
        <v>23</v>
      </c>
      <c r="O1017" s="43" t="s">
        <v>136</v>
      </c>
    </row>
    <row r="1018" spans="1:15" ht="27">
      <c r="A1018" s="5">
        <v>39673</v>
      </c>
      <c r="B1018" s="18" t="s">
        <v>15</v>
      </c>
      <c r="C1018" s="34" t="s">
        <v>16</v>
      </c>
      <c r="D1018" s="7" t="s">
        <v>32</v>
      </c>
      <c r="E1018" s="68" t="s">
        <v>378</v>
      </c>
      <c r="F1018" s="85" t="str">
        <f>HYPERLINK("https://drive.google.com/file/d/1pbn0ZPkx-3Phit2lgOP6OaplliwZFceS/view?usp=drivesdk","https://drive.google.com/file/d/1pbn0ZPkx-3Phit2lgOP6OaplliwZFceS/view?usp=drivesdk")</f>
        <v>https://drive.google.com/file/d/1pbn0ZPkx-3Phit2lgOP6OaplliwZFceS/view?usp=drivesdk</v>
      </c>
      <c r="G1018" s="7" t="s">
        <v>379</v>
      </c>
      <c r="H1018" s="95" t="s">
        <v>3208</v>
      </c>
      <c r="I1018" s="10"/>
      <c r="J1018" s="8">
        <v>12</v>
      </c>
      <c r="K1018" s="8">
        <v>74</v>
      </c>
      <c r="L1018" s="11">
        <v>0.1159722222222222</v>
      </c>
      <c r="M1018" s="39" t="s">
        <v>330</v>
      </c>
      <c r="N1018" s="43" t="s">
        <v>331</v>
      </c>
      <c r="O1018" s="43" t="s">
        <v>332</v>
      </c>
    </row>
    <row r="1019" spans="1:15" ht="27">
      <c r="A1019" s="5">
        <v>39671</v>
      </c>
      <c r="B1019" s="18" t="s">
        <v>15</v>
      </c>
      <c r="C1019" s="23" t="s">
        <v>16</v>
      </c>
      <c r="D1019" s="7" t="s">
        <v>92</v>
      </c>
      <c r="E1019" s="68" t="s">
        <v>376</v>
      </c>
      <c r="F1019" s="85" t="str">
        <f>HYPERLINK("https://drive.google.com/file/d/1agEJ-gSjnx5OLtwqO3MJQhDUjPg2Ku9O/view?usp=drivesdk","https://drive.google.com/file/d/1agEJ-gSjnx5OLtwqO3MJQhDUjPg2Ku9O/view?usp=drivesdk")</f>
        <v>https://drive.google.com/file/d/1agEJ-gSjnx5OLtwqO3MJQhDUjPg2Ku9O/view?usp=drivesdk</v>
      </c>
      <c r="G1019" s="7" t="s">
        <v>377</v>
      </c>
      <c r="H1019" s="95" t="s">
        <v>3202</v>
      </c>
      <c r="I1019" s="10"/>
      <c r="J1019" s="8">
        <v>65</v>
      </c>
      <c r="K1019" s="8">
        <v>1543</v>
      </c>
      <c r="L1019" s="11">
        <v>0.24652777777777779</v>
      </c>
      <c r="M1019" s="39" t="s">
        <v>22</v>
      </c>
      <c r="N1019" s="43" t="s">
        <v>23</v>
      </c>
      <c r="O1019" s="43" t="s">
        <v>136</v>
      </c>
    </row>
    <row r="1020" spans="1:15">
      <c r="A1020" s="5">
        <v>39642</v>
      </c>
      <c r="B1020" s="18" t="s">
        <v>15</v>
      </c>
      <c r="C1020" s="34" t="s">
        <v>16</v>
      </c>
      <c r="D1020" s="7" t="s">
        <v>32</v>
      </c>
      <c r="E1020" s="69"/>
      <c r="G1020" s="7" t="s">
        <v>375</v>
      </c>
      <c r="H1020" s="95" t="s">
        <v>3208</v>
      </c>
      <c r="I1020" s="10"/>
      <c r="J1020" s="8">
        <v>70</v>
      </c>
      <c r="K1020" s="8"/>
      <c r="L1020" s="11"/>
      <c r="M1020" s="39" t="s">
        <v>330</v>
      </c>
      <c r="N1020" s="43" t="s">
        <v>331</v>
      </c>
      <c r="O1020" s="43" t="s">
        <v>332</v>
      </c>
    </row>
    <row r="1021" spans="1:15" ht="27" customHeight="1">
      <c r="A1021" s="5">
        <v>39635</v>
      </c>
      <c r="B1021" s="18" t="s">
        <v>15</v>
      </c>
      <c r="C1021" s="34" t="s">
        <v>16</v>
      </c>
      <c r="D1021" s="21" t="s">
        <v>271</v>
      </c>
      <c r="E1021" s="69"/>
      <c r="G1021" s="21" t="s">
        <v>271</v>
      </c>
      <c r="H1021" s="95" t="s">
        <v>3208</v>
      </c>
      <c r="I1021" s="40"/>
      <c r="J1021" s="41"/>
      <c r="K1021" s="41"/>
      <c r="L1021" s="46"/>
      <c r="M1021" s="39" t="s">
        <v>22</v>
      </c>
      <c r="N1021" s="43" t="s">
        <v>23</v>
      </c>
      <c r="O1021" s="43" t="s">
        <v>136</v>
      </c>
    </row>
    <row r="1022" spans="1:15" ht="18.75">
      <c r="A1022" s="5">
        <v>39634</v>
      </c>
      <c r="B1022" s="18" t="s">
        <v>15</v>
      </c>
      <c r="C1022" s="34" t="s">
        <v>16</v>
      </c>
      <c r="D1022" s="7" t="s">
        <v>27</v>
      </c>
      <c r="E1022" s="69"/>
      <c r="G1022" s="7" t="s">
        <v>374</v>
      </c>
      <c r="H1022" s="95" t="s">
        <v>3208</v>
      </c>
      <c r="I1022" s="81" t="s">
        <v>29</v>
      </c>
      <c r="J1022" s="8">
        <v>80</v>
      </c>
      <c r="K1022" s="8">
        <v>1100</v>
      </c>
      <c r="L1022" s="11"/>
      <c r="M1022" s="39" t="s">
        <v>22</v>
      </c>
      <c r="N1022" s="43" t="s">
        <v>23</v>
      </c>
      <c r="O1022" s="43" t="s">
        <v>136</v>
      </c>
    </row>
    <row r="1023" spans="1:15" ht="27" customHeight="1">
      <c r="A1023" s="5">
        <v>39613</v>
      </c>
      <c r="B1023" s="18" t="s">
        <v>15</v>
      </c>
      <c r="C1023" s="34" t="s">
        <v>16</v>
      </c>
      <c r="D1023" s="7" t="s">
        <v>27</v>
      </c>
      <c r="E1023" s="68" t="s">
        <v>373</v>
      </c>
      <c r="F1023" s="85" t="str">
        <f>HYPERLINK("https://drive.google.com/file/d/1Tfs3qwYinCMxq4ZVYvkpXAhc-OL_RAJb/view?usp=drivesdk","https://drive.google.com/file/d/1Tfs3qwYinCMxq4ZVYvkpXAhc-OL_RAJb/view?usp=drivesdk")</f>
        <v>https://drive.google.com/file/d/1Tfs3qwYinCMxq4ZVYvkpXAhc-OL_RAJb/view?usp=drivesdk</v>
      </c>
      <c r="G1023" s="7" t="s">
        <v>346</v>
      </c>
      <c r="H1023" s="95" t="s">
        <v>3208</v>
      </c>
      <c r="I1023" s="81" t="s">
        <v>29</v>
      </c>
      <c r="J1023" s="8">
        <v>105</v>
      </c>
      <c r="K1023" s="8">
        <v>1303</v>
      </c>
      <c r="L1023" s="11">
        <v>0.20902777777777781</v>
      </c>
      <c r="M1023" s="39" t="s">
        <v>22</v>
      </c>
      <c r="N1023" s="43" t="s">
        <v>23</v>
      </c>
      <c r="O1023" s="43" t="s">
        <v>136</v>
      </c>
    </row>
    <row r="1024" spans="1:15" ht="27" customHeight="1">
      <c r="A1024" s="5">
        <v>39600</v>
      </c>
      <c r="B1024" s="18" t="s">
        <v>15</v>
      </c>
      <c r="C1024" s="7" t="s">
        <v>131</v>
      </c>
      <c r="D1024" s="7" t="s">
        <v>371</v>
      </c>
      <c r="E1024" s="68" t="s">
        <v>372</v>
      </c>
      <c r="F1024" s="85" t="str">
        <f>HYPERLINK("https://drive.google.com/file/d/1pB5gsocKmb3ubWjlQ4pk2MQMyb00vbAa/view?usp=drivesdk","https://drive.google.com/file/d/1pB5gsocKmb3ubWjlQ4pk2MQMyb00vbAa/view?usp=drivesdk")</f>
        <v>https://drive.google.com/file/d/1pB5gsocKmb3ubWjlQ4pk2MQMyb00vbAa/view?usp=drivesdk</v>
      </c>
      <c r="G1024" s="7" t="s">
        <v>133</v>
      </c>
      <c r="H1024" s="95" t="s">
        <v>3203</v>
      </c>
      <c r="I1024" s="10"/>
      <c r="J1024" s="8">
        <v>24</v>
      </c>
      <c r="K1024" s="8">
        <v>1311</v>
      </c>
      <c r="L1024" s="11">
        <v>5.9722222222222232E-2</v>
      </c>
      <c r="M1024" s="39" t="s">
        <v>22</v>
      </c>
      <c r="N1024" s="43" t="s">
        <v>23</v>
      </c>
      <c r="O1024" s="43" t="s">
        <v>136</v>
      </c>
    </row>
    <row r="1025" spans="1:15" ht="40.5">
      <c r="A1025" s="5">
        <v>39585</v>
      </c>
      <c r="B1025" s="18" t="s">
        <v>15</v>
      </c>
      <c r="C1025" s="7" t="s">
        <v>151</v>
      </c>
      <c r="D1025" s="21" t="s">
        <v>236</v>
      </c>
      <c r="E1025" s="69"/>
      <c r="G1025" s="7" t="s">
        <v>236</v>
      </c>
      <c r="H1025" s="95" t="s">
        <v>3218</v>
      </c>
      <c r="I1025" s="40"/>
      <c r="J1025" s="41">
        <v>291</v>
      </c>
      <c r="K1025" s="41"/>
      <c r="L1025" s="46"/>
      <c r="M1025" s="39" t="s">
        <v>22</v>
      </c>
      <c r="N1025" s="43" t="s">
        <v>23</v>
      </c>
      <c r="O1025" s="43" t="s">
        <v>136</v>
      </c>
    </row>
    <row r="1026" spans="1:15" ht="27" customHeight="1">
      <c r="A1026" s="5">
        <v>39574</v>
      </c>
      <c r="B1026" s="18" t="s">
        <v>15</v>
      </c>
      <c r="C1026" s="34" t="s">
        <v>16</v>
      </c>
      <c r="D1026" s="7" t="s">
        <v>27</v>
      </c>
      <c r="E1026" s="69"/>
      <c r="G1026" s="7" t="s">
        <v>369</v>
      </c>
      <c r="H1026" s="95" t="s">
        <v>3352</v>
      </c>
      <c r="I1026" s="81" t="s">
        <v>29</v>
      </c>
      <c r="J1026" s="8">
        <v>135</v>
      </c>
      <c r="K1026" s="8"/>
      <c r="L1026" s="11"/>
      <c r="M1026" s="39" t="s">
        <v>22</v>
      </c>
      <c r="N1026" s="43" t="s">
        <v>23</v>
      </c>
      <c r="O1026" s="43" t="s">
        <v>136</v>
      </c>
    </row>
    <row r="1027" spans="1:15" ht="27" customHeight="1">
      <c r="A1027" s="5">
        <v>39573</v>
      </c>
      <c r="B1027" s="18" t="s">
        <v>15</v>
      </c>
      <c r="C1027" s="23" t="s">
        <v>223</v>
      </c>
      <c r="D1027" s="7" t="s">
        <v>365</v>
      </c>
      <c r="E1027" s="68" t="s">
        <v>366</v>
      </c>
      <c r="F1027" s="85" t="str">
        <f>HYPERLINK("https://drive.google.com/file/d/1f_8WvKrYZVJxcIY2cbNqi0qBilV2CI4h/view?usp=drivesdk","https://drive.google.com/file/d/1f_8WvKrYZVJxcIY2cbNqi0qBilV2CI4h/view?usp=drivesdk")</f>
        <v>https://drive.google.com/file/d/1f_8WvKrYZVJxcIY2cbNqi0qBilV2CI4h/view?usp=drivesdk</v>
      </c>
      <c r="G1027" s="7" t="s">
        <v>367</v>
      </c>
      <c r="H1027" s="95" t="s">
        <v>3202</v>
      </c>
      <c r="I1027" s="10"/>
      <c r="J1027" s="8">
        <v>31</v>
      </c>
      <c r="K1027" s="8">
        <v>232</v>
      </c>
      <c r="L1027" s="11">
        <v>9.0277777777777776E-2</v>
      </c>
      <c r="M1027" s="39" t="s">
        <v>19</v>
      </c>
      <c r="N1027" s="43" t="s">
        <v>294</v>
      </c>
      <c r="O1027" s="43" t="s">
        <v>295</v>
      </c>
    </row>
    <row r="1028" spans="1:15" ht="40.5" customHeight="1">
      <c r="A1028" s="5">
        <v>39572</v>
      </c>
      <c r="B1028" s="18" t="s">
        <v>15</v>
      </c>
      <c r="C1028" s="23" t="s">
        <v>16</v>
      </c>
      <c r="D1028" s="7" t="s">
        <v>362</v>
      </c>
      <c r="E1028" s="68" t="s">
        <v>363</v>
      </c>
      <c r="F1028" s="85" t="str">
        <f>HYPERLINK("https://drive.google.com/file/d/1ycFpnldotQYlN_KFrykorMQuiL6jjKC0/view?usp=drivesdk","https://drive.google.com/file/d/1ycFpnldotQYlN_KFrykorMQuiL6jjKC0/view?usp=drivesdk")</f>
        <v>https://drive.google.com/file/d/1ycFpnldotQYlN_KFrykorMQuiL6jjKC0/view?usp=drivesdk</v>
      </c>
      <c r="G1028" s="7" t="s">
        <v>364</v>
      </c>
      <c r="H1028" s="95" t="s">
        <v>3202</v>
      </c>
      <c r="I1028" s="10"/>
      <c r="J1028" s="8">
        <v>62</v>
      </c>
      <c r="K1028" s="8">
        <v>773</v>
      </c>
      <c r="L1028" s="11">
        <v>0.1986111111111111</v>
      </c>
      <c r="M1028" s="39" t="s">
        <v>22</v>
      </c>
      <c r="N1028" s="43" t="s">
        <v>23</v>
      </c>
      <c r="O1028" s="43" t="s">
        <v>136</v>
      </c>
    </row>
    <row r="1029" spans="1:15">
      <c r="A1029" s="5">
        <v>39569</v>
      </c>
      <c r="B1029" s="18" t="s">
        <v>15</v>
      </c>
      <c r="C1029" s="34" t="s">
        <v>16</v>
      </c>
      <c r="D1029" s="7" t="s">
        <v>360</v>
      </c>
      <c r="E1029" s="68" t="s">
        <v>361</v>
      </c>
      <c r="F1029" s="85" t="str">
        <f>HYPERLINK("https://drive.google.com/file/d/1m7urpqa87fflxYas1Asm1lCk8kgxDuDm/view?usp=drivesdk","https://drive.google.com/file/d/1m7urpqa87fflxYas1Asm1lCk8kgxDuDm/view?usp=drivesdk")</f>
        <v>https://drive.google.com/file/d/1m7urpqa87fflxYas1Asm1lCk8kgxDuDm/view?usp=drivesdk</v>
      </c>
      <c r="G1029" s="7" t="s">
        <v>360</v>
      </c>
      <c r="H1029" s="95" t="s">
        <v>3221</v>
      </c>
      <c r="I1029" s="10"/>
      <c r="J1029" s="8">
        <v>93</v>
      </c>
      <c r="K1029" s="8">
        <v>80</v>
      </c>
      <c r="L1029" s="11">
        <v>0.29236111111111113</v>
      </c>
      <c r="M1029" s="39" t="s">
        <v>22</v>
      </c>
      <c r="N1029" s="43" t="s">
        <v>23</v>
      </c>
      <c r="O1029" s="43" t="s">
        <v>136</v>
      </c>
    </row>
    <row r="1030" spans="1:15" ht="27" customHeight="1">
      <c r="A1030" s="5">
        <v>39568</v>
      </c>
      <c r="B1030" s="18" t="s">
        <v>15</v>
      </c>
      <c r="C1030" s="34" t="s">
        <v>16</v>
      </c>
      <c r="D1030" s="7" t="s">
        <v>358</v>
      </c>
      <c r="E1030" s="68" t="s">
        <v>359</v>
      </c>
      <c r="F1030" s="85" t="str">
        <f>HYPERLINK("https://drive.google.com/file/d/1Hk_4iKo1Px-1QlJmqDJuT8-wOH91hTV1/view?usp=drivesdk","https://drive.google.com/file/d/1Hk_4iKo1Px-1QlJmqDJuT8-wOH91hTV1/view?usp=drivesdk")</f>
        <v>https://drive.google.com/file/d/1Hk_4iKo1Px-1QlJmqDJuT8-wOH91hTV1/view?usp=drivesdk</v>
      </c>
      <c r="G1030" s="7" t="s">
        <v>358</v>
      </c>
      <c r="H1030" s="95" t="s">
        <v>3221</v>
      </c>
      <c r="I1030" s="10"/>
      <c r="J1030" s="8">
        <v>96</v>
      </c>
      <c r="K1030" s="8">
        <v>460</v>
      </c>
      <c r="L1030" s="11">
        <v>0.31944444444444442</v>
      </c>
      <c r="M1030" s="39" t="s">
        <v>22</v>
      </c>
      <c r="N1030" s="43" t="s">
        <v>23</v>
      </c>
      <c r="O1030" s="43" t="s">
        <v>136</v>
      </c>
    </row>
    <row r="1031" spans="1:15" ht="27">
      <c r="A1031" s="5">
        <v>39567</v>
      </c>
      <c r="B1031" s="18" t="s">
        <v>15</v>
      </c>
      <c r="C1031" s="23" t="s">
        <v>16</v>
      </c>
      <c r="D1031" s="7" t="s">
        <v>354</v>
      </c>
      <c r="E1031" s="68" t="s">
        <v>355</v>
      </c>
      <c r="F1031" s="85" t="str">
        <f>HYPERLINK("https://drive.google.com/file/d/1wfpn5rZP5kmj7ZupyfUl8A7fUYHz5ix4/view?usp=drivesdk","https://drive.google.com/file/d/1wfpn5rZP5kmj7ZupyfUl8A7fUYHz5ix4/view?usp=drivesdk")</f>
        <v>https://drive.google.com/file/d/1wfpn5rZP5kmj7ZupyfUl8A7fUYHz5ix4/view?usp=drivesdk</v>
      </c>
      <c r="G1031" s="7" t="s">
        <v>356</v>
      </c>
      <c r="H1031" s="95" t="s">
        <v>3225</v>
      </c>
      <c r="I1031" s="10" t="s">
        <v>357</v>
      </c>
      <c r="J1031" s="8">
        <v>206</v>
      </c>
      <c r="K1031" s="8">
        <v>3230</v>
      </c>
      <c r="L1031" s="11">
        <v>0.46597222222222218</v>
      </c>
      <c r="M1031" s="39" t="s">
        <v>22</v>
      </c>
      <c r="N1031" s="43" t="s">
        <v>23</v>
      </c>
      <c r="O1031" s="43" t="s">
        <v>136</v>
      </c>
    </row>
    <row r="1032" spans="1:15">
      <c r="A1032" s="5">
        <v>39558</v>
      </c>
      <c r="B1032" s="18" t="s">
        <v>15</v>
      </c>
      <c r="C1032" s="7" t="s">
        <v>131</v>
      </c>
      <c r="D1032" s="7" t="s">
        <v>351</v>
      </c>
      <c r="E1032" s="68" t="s">
        <v>352</v>
      </c>
      <c r="F1032" s="85" t="str">
        <f>HYPERLINK("https://drive.google.com/file/d/1GirlQPL3GmM9mhZkPHIG-kgvvxbjjLVD/view?usp=drivesdk","https://drive.google.com/file/d/1GirlQPL3GmM9mhZkPHIG-kgvvxbjjLVD/view?usp=drivesdk")</f>
        <v>https://drive.google.com/file/d/1GirlQPL3GmM9mhZkPHIG-kgvvxbjjLVD/view?usp=drivesdk</v>
      </c>
      <c r="G1032" s="7" t="s">
        <v>353</v>
      </c>
      <c r="H1032" s="95" t="s">
        <v>3224</v>
      </c>
      <c r="I1032" s="10"/>
      <c r="J1032" s="8">
        <v>13</v>
      </c>
      <c r="K1032" s="8">
        <v>769</v>
      </c>
      <c r="L1032" s="11">
        <v>3.4722222222222217E-2</v>
      </c>
      <c r="M1032" s="39" t="s">
        <v>22</v>
      </c>
      <c r="N1032" s="43" t="s">
        <v>23</v>
      </c>
      <c r="O1032" s="43" t="s">
        <v>136</v>
      </c>
    </row>
    <row r="1033" spans="1:15" ht="40.5" customHeight="1">
      <c r="A1033" s="5">
        <v>39550</v>
      </c>
      <c r="B1033" s="18" t="s">
        <v>15</v>
      </c>
      <c r="C1033" s="34" t="s">
        <v>16</v>
      </c>
      <c r="D1033" s="7" t="s">
        <v>349</v>
      </c>
      <c r="E1033" s="69"/>
      <c r="G1033" s="7" t="s">
        <v>350</v>
      </c>
      <c r="H1033" s="95" t="s">
        <v>3223</v>
      </c>
      <c r="I1033" s="10"/>
      <c r="J1033" s="8">
        <v>101</v>
      </c>
      <c r="K1033" s="8"/>
      <c r="L1033" s="11"/>
      <c r="M1033" s="39" t="s">
        <v>22</v>
      </c>
      <c r="N1033" s="43" t="s">
        <v>23</v>
      </c>
      <c r="O1033" s="43" t="s">
        <v>136</v>
      </c>
    </row>
    <row r="1034" spans="1:15" ht="27">
      <c r="A1034" s="5">
        <v>39544</v>
      </c>
      <c r="B1034" s="18" t="s">
        <v>15</v>
      </c>
      <c r="C1034" s="34" t="s">
        <v>16</v>
      </c>
      <c r="D1034" s="7" t="s">
        <v>347</v>
      </c>
      <c r="E1034" s="69"/>
      <c r="G1034" s="7" t="s">
        <v>348</v>
      </c>
      <c r="H1034" s="95" t="s">
        <v>3208</v>
      </c>
      <c r="I1034" s="24" t="s">
        <v>40</v>
      </c>
      <c r="J1034" s="8">
        <v>37</v>
      </c>
      <c r="K1034" s="8"/>
      <c r="L1034" s="11"/>
      <c r="M1034" s="39" t="s">
        <v>330</v>
      </c>
      <c r="N1034" s="43" t="s">
        <v>331</v>
      </c>
      <c r="O1034" s="43" t="s">
        <v>332</v>
      </c>
    </row>
    <row r="1035" spans="1:15" ht="18.75">
      <c r="A1035" s="5">
        <v>39543</v>
      </c>
      <c r="B1035" s="18" t="s">
        <v>15</v>
      </c>
      <c r="C1035" s="34" t="s">
        <v>16</v>
      </c>
      <c r="D1035" s="7" t="s">
        <v>27</v>
      </c>
      <c r="E1035" s="69"/>
      <c r="G1035" s="7" t="s">
        <v>346</v>
      </c>
      <c r="H1035" s="95" t="s">
        <v>3208</v>
      </c>
      <c r="I1035" s="81" t="s">
        <v>29</v>
      </c>
      <c r="J1035" s="8">
        <v>120</v>
      </c>
      <c r="K1035" s="8"/>
      <c r="L1035" s="11"/>
      <c r="M1035" s="39" t="s">
        <v>22</v>
      </c>
      <c r="N1035" s="43" t="s">
        <v>23</v>
      </c>
      <c r="O1035" s="43" t="s">
        <v>136</v>
      </c>
    </row>
    <row r="1036" spans="1:15" ht="27">
      <c r="A1036" s="5">
        <v>39537</v>
      </c>
      <c r="B1036" s="18" t="s">
        <v>15</v>
      </c>
      <c r="C1036" s="34" t="s">
        <v>16</v>
      </c>
      <c r="D1036" s="7" t="s">
        <v>32</v>
      </c>
      <c r="E1036" s="69"/>
      <c r="G1036" s="7" t="s">
        <v>345</v>
      </c>
      <c r="H1036" s="73" t="s">
        <v>222</v>
      </c>
      <c r="I1036" s="24" t="s">
        <v>40</v>
      </c>
      <c r="J1036" s="8"/>
      <c r="K1036" s="8"/>
      <c r="L1036" s="11"/>
      <c r="M1036" s="39" t="s">
        <v>330</v>
      </c>
      <c r="N1036" s="43" t="s">
        <v>331</v>
      </c>
      <c r="O1036" s="43" t="s">
        <v>332</v>
      </c>
    </row>
    <row r="1037" spans="1:15" ht="27">
      <c r="A1037" s="5">
        <v>39536</v>
      </c>
      <c r="B1037" s="18" t="s">
        <v>15</v>
      </c>
      <c r="C1037" s="34" t="s">
        <v>16</v>
      </c>
      <c r="D1037" s="7" t="s">
        <v>343</v>
      </c>
      <c r="E1037" s="69"/>
      <c r="G1037" s="7" t="s">
        <v>344</v>
      </c>
      <c r="H1037" s="95" t="s">
        <v>3208</v>
      </c>
      <c r="I1037" s="24" t="s">
        <v>40</v>
      </c>
      <c r="J1037" s="8">
        <v>55</v>
      </c>
      <c r="K1037" s="8"/>
      <c r="L1037" s="11"/>
      <c r="M1037" s="39" t="s">
        <v>102</v>
      </c>
      <c r="N1037" s="43" t="s">
        <v>194</v>
      </c>
      <c r="O1037" s="43" t="s">
        <v>195</v>
      </c>
    </row>
    <row r="1038" spans="1:15" ht="27">
      <c r="A1038" s="5">
        <v>39534</v>
      </c>
      <c r="B1038" s="18" t="s">
        <v>15</v>
      </c>
      <c r="C1038" s="34" t="s">
        <v>16</v>
      </c>
      <c r="D1038" s="7" t="s">
        <v>341</v>
      </c>
      <c r="E1038" s="69"/>
      <c r="G1038" s="7" t="s">
        <v>342</v>
      </c>
      <c r="H1038" s="95" t="s">
        <v>3208</v>
      </c>
      <c r="I1038" s="24" t="s">
        <v>40</v>
      </c>
      <c r="J1038" s="8">
        <v>20</v>
      </c>
      <c r="K1038" s="8"/>
      <c r="L1038" s="11"/>
      <c r="M1038" s="39" t="s">
        <v>102</v>
      </c>
      <c r="N1038" s="43" t="s">
        <v>194</v>
      </c>
      <c r="O1038" s="43" t="s">
        <v>195</v>
      </c>
    </row>
    <row r="1039" spans="1:15" ht="18.75">
      <c r="A1039" s="5">
        <v>39530</v>
      </c>
      <c r="B1039" s="18" t="s">
        <v>15</v>
      </c>
      <c r="C1039" s="34" t="s">
        <v>16</v>
      </c>
      <c r="D1039" s="7" t="s">
        <v>27</v>
      </c>
      <c r="E1039" s="69"/>
      <c r="G1039" s="7" t="s">
        <v>30</v>
      </c>
      <c r="H1039" s="95" t="s">
        <v>3208</v>
      </c>
      <c r="I1039" s="81" t="s">
        <v>29</v>
      </c>
      <c r="J1039" s="8">
        <v>130</v>
      </c>
      <c r="K1039" s="8">
        <v>1477</v>
      </c>
      <c r="L1039" s="11"/>
      <c r="M1039" s="39" t="s">
        <v>22</v>
      </c>
      <c r="N1039" s="43" t="s">
        <v>23</v>
      </c>
      <c r="O1039" s="43" t="s">
        <v>136</v>
      </c>
    </row>
    <row r="1040" spans="1:15" ht="40.5" customHeight="1">
      <c r="A1040" s="5">
        <v>39529</v>
      </c>
      <c r="B1040" s="18" t="s">
        <v>15</v>
      </c>
      <c r="C1040" s="34" t="s">
        <v>16</v>
      </c>
      <c r="D1040" s="7" t="s">
        <v>32</v>
      </c>
      <c r="E1040" s="69"/>
      <c r="G1040" s="7" t="s">
        <v>340</v>
      </c>
      <c r="H1040" s="95" t="s">
        <v>3208</v>
      </c>
      <c r="I1040" s="10"/>
      <c r="J1040" s="8">
        <v>62</v>
      </c>
      <c r="K1040" s="8"/>
      <c r="L1040" s="11"/>
      <c r="M1040" s="39" t="s">
        <v>330</v>
      </c>
      <c r="N1040" s="43" t="s">
        <v>331</v>
      </c>
      <c r="O1040" s="43" t="s">
        <v>332</v>
      </c>
    </row>
    <row r="1041" spans="1:15" ht="27">
      <c r="A1041" s="5">
        <v>39523</v>
      </c>
      <c r="B1041" s="18" t="s">
        <v>15</v>
      </c>
      <c r="C1041" s="23" t="s">
        <v>196</v>
      </c>
      <c r="D1041" s="7" t="s">
        <v>337</v>
      </c>
      <c r="E1041" s="68" t="s">
        <v>338</v>
      </c>
      <c r="F1041" s="85" t="str">
        <f>HYPERLINK("https://drive.google.com/file/d/179de627Ml-WatIp6hjeggBSu7rjM43at/view?usp=drivesdk","https://drive.google.com/file/d/179de627Ml-WatIp6hjeggBSu7rjM43at/view?usp=drivesdk")</f>
        <v>https://drive.google.com/file/d/179de627Ml-WatIp6hjeggBSu7rjM43at/view?usp=drivesdk</v>
      </c>
      <c r="G1041" s="7" t="s">
        <v>339</v>
      </c>
      <c r="H1041" s="95" t="s">
        <v>3223</v>
      </c>
      <c r="I1041" s="10"/>
      <c r="J1041" s="8">
        <v>133</v>
      </c>
      <c r="K1041" s="8">
        <v>2958</v>
      </c>
      <c r="L1041" s="11">
        <v>0.3611111111111111</v>
      </c>
      <c r="M1041" s="39" t="s">
        <v>22</v>
      </c>
      <c r="N1041" s="43" t="s">
        <v>23</v>
      </c>
      <c r="O1041" s="43" t="s">
        <v>136</v>
      </c>
    </row>
    <row r="1042" spans="1:15" ht="14.25" customHeight="1">
      <c r="A1042" s="5">
        <v>39516</v>
      </c>
      <c r="B1042" s="18" t="s">
        <v>15</v>
      </c>
      <c r="C1042" s="34" t="s">
        <v>16</v>
      </c>
      <c r="D1042" s="7" t="s">
        <v>334</v>
      </c>
      <c r="E1042" s="68" t="s">
        <v>335</v>
      </c>
      <c r="F1042" s="85" t="str">
        <f>HYPERLINK("https://drive.google.com/file/d/1cOXgtY8DGSROwghrLWTrt2ss0bsdZd-P/view?usp=drivesdk","https://drive.google.com/file/d/1cOXgtY8DGSROwghrLWTrt2ss0bsdZd-P/view?usp=drivesdk")</f>
        <v>https://drive.google.com/file/d/1cOXgtY8DGSROwghrLWTrt2ss0bsdZd-P/view?usp=drivesdk</v>
      </c>
      <c r="G1042" s="7" t="s">
        <v>336</v>
      </c>
      <c r="H1042" s="95" t="s">
        <v>3193</v>
      </c>
      <c r="I1042" s="10"/>
      <c r="J1042" s="8">
        <v>21</v>
      </c>
      <c r="K1042" s="8">
        <v>283</v>
      </c>
      <c r="L1042" s="11">
        <v>0.33333333333333331</v>
      </c>
      <c r="M1042" s="39" t="s">
        <v>330</v>
      </c>
      <c r="N1042" s="43" t="s">
        <v>331</v>
      </c>
      <c r="O1042" s="43" t="s">
        <v>332</v>
      </c>
    </row>
    <row r="1043" spans="1:15" ht="27" customHeight="1">
      <c r="A1043" s="5">
        <v>39508</v>
      </c>
      <c r="B1043" s="18" t="s">
        <v>15</v>
      </c>
      <c r="C1043" s="34" t="s">
        <v>16</v>
      </c>
      <c r="D1043" s="7" t="s">
        <v>32</v>
      </c>
      <c r="E1043" s="68"/>
      <c r="G1043" s="7" t="s">
        <v>333</v>
      </c>
      <c r="H1043" s="95" t="s">
        <v>3208</v>
      </c>
      <c r="I1043" s="10"/>
      <c r="J1043" s="8">
        <v>25</v>
      </c>
      <c r="K1043" s="8"/>
      <c r="L1043" s="11"/>
      <c r="M1043" s="39" t="s">
        <v>330</v>
      </c>
      <c r="N1043" s="43" t="s">
        <v>331</v>
      </c>
      <c r="O1043" s="43" t="s">
        <v>332</v>
      </c>
    </row>
    <row r="1044" spans="1:15">
      <c r="A1044" s="5">
        <v>39502</v>
      </c>
      <c r="B1044" s="18" t="s">
        <v>15</v>
      </c>
      <c r="C1044" s="34" t="s">
        <v>16</v>
      </c>
      <c r="D1044" s="7" t="s">
        <v>327</v>
      </c>
      <c r="E1044" s="68" t="s">
        <v>328</v>
      </c>
      <c r="F1044" s="85" t="str">
        <f>HYPERLINK("https://drive.google.com/file/d/1wr5IYU_NsI36iWiWSqVtjQr-h3eVhfpI/view?usp=drivesdk","https://drive.google.com/file/d/1wr5IYU_NsI36iWiWSqVtjQr-h3eVhfpI/view?usp=drivesdk")</f>
        <v>https://drive.google.com/file/d/1wr5IYU_NsI36iWiWSqVtjQr-h3eVhfpI/view?usp=drivesdk</v>
      </c>
      <c r="G1044" s="7" t="s">
        <v>329</v>
      </c>
      <c r="H1044" s="95" t="s">
        <v>3223</v>
      </c>
      <c r="I1044" s="10"/>
      <c r="J1044" s="8">
        <v>57</v>
      </c>
      <c r="K1044" s="8">
        <v>384</v>
      </c>
      <c r="L1044" s="11">
        <v>0.33333333333333331</v>
      </c>
      <c r="M1044" s="39" t="s">
        <v>330</v>
      </c>
      <c r="N1044" s="43" t="s">
        <v>331</v>
      </c>
      <c r="O1044" s="43" t="s">
        <v>332</v>
      </c>
    </row>
    <row r="1045" spans="1:15" ht="27" customHeight="1">
      <c r="A1045" s="5">
        <v>39474</v>
      </c>
      <c r="B1045" s="18" t="s">
        <v>15</v>
      </c>
      <c r="C1045" s="34" t="s">
        <v>16</v>
      </c>
      <c r="D1045" s="7" t="s">
        <v>137</v>
      </c>
      <c r="E1045" s="68" t="s">
        <v>326</v>
      </c>
      <c r="F1045" s="85" t="str">
        <f>HYPERLINK("https://drive.google.com/file/d/1wiRl4ATdLZapqz0VmXWaPN3v98ua_5cl/view?usp=drivesdk","https://drive.google.com/file/d/1wiRl4ATdLZapqz0VmXWaPN3v98ua_5cl/view?usp=drivesdk")</f>
        <v>https://drive.google.com/file/d/1wiRl4ATdLZapqz0VmXWaPN3v98ua_5cl/view?usp=drivesdk</v>
      </c>
      <c r="G1045" s="7" t="s">
        <v>137</v>
      </c>
      <c r="H1045" s="95" t="s">
        <v>3223</v>
      </c>
      <c r="I1045" s="10"/>
      <c r="J1045" s="8">
        <v>87</v>
      </c>
      <c r="K1045" s="8">
        <v>804</v>
      </c>
      <c r="L1045" s="11">
        <v>0.29166666666666669</v>
      </c>
      <c r="M1045" s="39" t="s">
        <v>22</v>
      </c>
      <c r="N1045" s="43" t="s">
        <v>23</v>
      </c>
      <c r="O1045" s="43" t="s">
        <v>136</v>
      </c>
    </row>
    <row r="1046" spans="1:15" ht="27">
      <c r="A1046" s="5">
        <v>39473</v>
      </c>
      <c r="B1046" s="18" t="s">
        <v>15</v>
      </c>
      <c r="C1046" s="34" t="s">
        <v>16</v>
      </c>
      <c r="D1046" s="7" t="s">
        <v>323</v>
      </c>
      <c r="E1046" s="68" t="s">
        <v>324</v>
      </c>
      <c r="F1046" s="85" t="str">
        <f>HYPERLINK("https://drive.google.com/file/d/1VIK0A5yBeB4pGEMPre0dnLP5kjP0y_PC/view?usp=drivesdk","https://drive.google.com/file/d/1VIK0A5yBeB4pGEMPre0dnLP5kjP0y_PC/view?usp=drivesdk")</f>
        <v>https://drive.google.com/file/d/1VIK0A5yBeB4pGEMPre0dnLP5kjP0y_PC/view?usp=drivesdk</v>
      </c>
      <c r="G1046" s="7" t="s">
        <v>325</v>
      </c>
      <c r="H1046" s="95" t="s">
        <v>3193</v>
      </c>
      <c r="I1046" s="10"/>
      <c r="J1046" s="8">
        <v>70</v>
      </c>
      <c r="K1046" s="8">
        <v>376</v>
      </c>
      <c r="L1046" s="11">
        <v>0.33333333333333331</v>
      </c>
      <c r="M1046" s="39" t="s">
        <v>22</v>
      </c>
      <c r="N1046" s="43" t="s">
        <v>23</v>
      </c>
      <c r="O1046" s="43" t="s">
        <v>24</v>
      </c>
    </row>
    <row r="1047" spans="1:15">
      <c r="A1047" s="5">
        <v>39469</v>
      </c>
      <c r="B1047" s="18" t="s">
        <v>15</v>
      </c>
      <c r="C1047" s="23" t="s">
        <v>196</v>
      </c>
      <c r="D1047" s="7" t="s">
        <v>319</v>
      </c>
      <c r="E1047" s="69"/>
      <c r="G1047" s="7" t="s">
        <v>319</v>
      </c>
      <c r="H1047" s="95" t="s">
        <v>3208</v>
      </c>
      <c r="I1047" s="10"/>
      <c r="J1047" s="8">
        <v>30</v>
      </c>
      <c r="K1047" s="8"/>
      <c r="L1047" s="11"/>
      <c r="M1047" s="39" t="s">
        <v>19</v>
      </c>
      <c r="N1047" s="43" t="s">
        <v>294</v>
      </c>
      <c r="O1047" s="43" t="s">
        <v>295</v>
      </c>
    </row>
    <row r="1048" spans="1:15">
      <c r="A1048" s="5">
        <v>39468</v>
      </c>
      <c r="B1048" s="18" t="s">
        <v>15</v>
      </c>
      <c r="C1048" s="34" t="s">
        <v>16</v>
      </c>
      <c r="D1048" s="7" t="s">
        <v>321</v>
      </c>
      <c r="E1048" s="69"/>
      <c r="G1048" s="7" t="s">
        <v>322</v>
      </c>
      <c r="H1048" s="95" t="s">
        <v>3208</v>
      </c>
      <c r="I1048" s="13"/>
      <c r="J1048" s="8">
        <v>20</v>
      </c>
      <c r="K1048" s="8"/>
      <c r="L1048" s="11"/>
      <c r="M1048" s="39" t="s">
        <v>22</v>
      </c>
      <c r="N1048" s="43" t="s">
        <v>23</v>
      </c>
      <c r="O1048" s="43" t="s">
        <v>24</v>
      </c>
    </row>
    <row r="1049" spans="1:15" ht="27" customHeight="1">
      <c r="A1049" s="5">
        <v>39467</v>
      </c>
      <c r="B1049" s="18" t="s">
        <v>15</v>
      </c>
      <c r="C1049" s="23" t="s">
        <v>196</v>
      </c>
      <c r="D1049" s="7" t="s">
        <v>319</v>
      </c>
      <c r="E1049" s="69"/>
      <c r="G1049" s="7" t="s">
        <v>319</v>
      </c>
      <c r="H1049" s="95" t="s">
        <v>3208</v>
      </c>
      <c r="I1049" s="40"/>
      <c r="J1049" s="41">
        <v>25</v>
      </c>
      <c r="K1049" s="41"/>
      <c r="L1049" s="46"/>
      <c r="M1049" s="39" t="s">
        <v>19</v>
      </c>
      <c r="N1049" s="43" t="s">
        <v>294</v>
      </c>
      <c r="O1049" s="43" t="s">
        <v>295</v>
      </c>
    </row>
    <row r="1050" spans="1:15" ht="40.5" customHeight="1">
      <c r="A1050" s="5">
        <v>39449</v>
      </c>
      <c r="B1050" s="18" t="s">
        <v>15</v>
      </c>
      <c r="C1050" s="34" t="s">
        <v>16</v>
      </c>
      <c r="D1050" s="7" t="s">
        <v>17</v>
      </c>
      <c r="E1050" s="69"/>
      <c r="G1050" s="7" t="s">
        <v>18</v>
      </c>
      <c r="H1050" s="95" t="s">
        <v>3208</v>
      </c>
      <c r="I1050" s="10"/>
      <c r="J1050" s="8">
        <v>50</v>
      </c>
      <c r="K1050" s="8"/>
      <c r="L1050" s="11"/>
      <c r="M1050" s="39" t="s">
        <v>22</v>
      </c>
      <c r="N1050" s="43" t="s">
        <v>23</v>
      </c>
      <c r="O1050" s="43" t="s">
        <v>24</v>
      </c>
    </row>
    <row r="1051" spans="1:15" ht="27" customHeight="1">
      <c r="A1051" s="5">
        <v>39440</v>
      </c>
      <c r="B1051" s="18" t="s">
        <v>15</v>
      </c>
      <c r="C1051" s="34" t="s">
        <v>16</v>
      </c>
      <c r="D1051" s="7" t="s">
        <v>316</v>
      </c>
      <c r="E1051" s="68" t="s">
        <v>317</v>
      </c>
      <c r="F1051" s="85" t="str">
        <f>HYPERLINK("https://drive.google.com/file/d/1lIUVv_iAv8GA9GE2PyPQmrSP9qI36cp8/view?usp=drivesdk","https://drive.google.com/file/d/1lIUVv_iAv8GA9GE2PyPQmrSP9qI36cp8/view?usp=drivesdk")</f>
        <v>https://drive.google.com/file/d/1lIUVv_iAv8GA9GE2PyPQmrSP9qI36cp8/view?usp=drivesdk</v>
      </c>
      <c r="G1051" s="7" t="s">
        <v>318</v>
      </c>
      <c r="H1051" s="95" t="s">
        <v>3223</v>
      </c>
      <c r="I1051" s="10"/>
      <c r="J1051" s="8">
        <v>180</v>
      </c>
      <c r="K1051" s="8">
        <v>1048</v>
      </c>
      <c r="L1051" s="54">
        <v>0.375</v>
      </c>
      <c r="M1051" s="39" t="s">
        <v>22</v>
      </c>
      <c r="N1051" s="43" t="s">
        <v>23</v>
      </c>
      <c r="O1051" s="43" t="s">
        <v>136</v>
      </c>
    </row>
    <row r="1052" spans="1:15" ht="27">
      <c r="A1052" s="5">
        <v>39411</v>
      </c>
      <c r="B1052" s="18" t="s">
        <v>15</v>
      </c>
      <c r="C1052" s="23" t="s">
        <v>16</v>
      </c>
      <c r="D1052" s="7" t="s">
        <v>114</v>
      </c>
      <c r="E1052" s="68" t="s">
        <v>315</v>
      </c>
      <c r="F1052" s="85" t="str">
        <f>HYPERLINK("https://drive.google.com/file/d/1Rs_TwF2Xy8IrzUJnL5z8gEcsiNbdphgR/view?usp=drivesdk","https://drive.google.com/file/d/1Rs_TwF2Xy8IrzUJnL5z8gEcsiNbdphgR/view?usp=drivesdk")</f>
        <v>https://drive.google.com/file/d/1Rs_TwF2Xy8IrzUJnL5z8gEcsiNbdphgR/view?usp=drivesdk</v>
      </c>
      <c r="G1052" s="7" t="s">
        <v>115</v>
      </c>
      <c r="H1052" s="73" t="s">
        <v>39</v>
      </c>
      <c r="I1052" s="10"/>
      <c r="J1052" s="8">
        <v>110</v>
      </c>
      <c r="K1052" s="8">
        <v>2028</v>
      </c>
      <c r="L1052" s="54">
        <v>0.29166666666666669</v>
      </c>
      <c r="M1052" s="39" t="s">
        <v>22</v>
      </c>
      <c r="N1052" s="43" t="s">
        <v>23</v>
      </c>
      <c r="O1052" s="43" t="s">
        <v>136</v>
      </c>
    </row>
    <row r="1053" spans="1:15" ht="27" customHeight="1">
      <c r="A1053" s="5">
        <v>39390</v>
      </c>
      <c r="B1053" s="62" t="s">
        <v>246</v>
      </c>
      <c r="C1053" s="23" t="s">
        <v>196</v>
      </c>
      <c r="D1053" s="7" t="s">
        <v>312</v>
      </c>
      <c r="E1053" s="68" t="s">
        <v>313</v>
      </c>
      <c r="F1053" s="85" t="str">
        <f>HYPERLINK("https://drive.google.com/file/d/1ub5fD4NL4pAIcHKllte7cuAegHb7gdJ-/view?usp=drivesdk","https://drive.google.com/file/d/1ub5fD4NL4pAIcHKllte7cuAegHb7gdJ-/view?usp=drivesdk")</f>
        <v>https://drive.google.com/file/d/1ub5fD4NL4pAIcHKllte7cuAegHb7gdJ-/view?usp=drivesdk</v>
      </c>
      <c r="G1053" s="7" t="s">
        <v>314</v>
      </c>
      <c r="H1053" s="95" t="s">
        <v>3203</v>
      </c>
      <c r="I1053" s="10"/>
      <c r="J1053" s="8">
        <v>37</v>
      </c>
      <c r="K1053" s="8">
        <v>2359</v>
      </c>
      <c r="L1053" s="11">
        <v>0.33333333333333331</v>
      </c>
      <c r="M1053" s="39" t="s">
        <v>19</v>
      </c>
      <c r="N1053" s="43" t="s">
        <v>294</v>
      </c>
      <c r="O1053" s="43" t="s">
        <v>295</v>
      </c>
    </row>
    <row r="1054" spans="1:15" ht="27" customHeight="1">
      <c r="A1054" s="5">
        <v>39389</v>
      </c>
      <c r="B1054" s="18" t="s">
        <v>15</v>
      </c>
      <c r="C1054" s="34" t="s">
        <v>16</v>
      </c>
      <c r="D1054" s="7" t="s">
        <v>308</v>
      </c>
      <c r="E1054" s="68" t="s">
        <v>309</v>
      </c>
      <c r="F1054" s="85" t="str">
        <f>HYPERLINK("https://drive.google.com/file/d/16Gx2KMLol-jfDV1K_hDKKYoaYNUjccMl/view?usp=drivesdk","https://drive.google.com/file/d/16Gx2KMLol-jfDV1K_hDKKYoaYNUjccMl/view?usp=drivesdk")</f>
        <v>https://drive.google.com/file/d/16Gx2KMLol-jfDV1K_hDKKYoaYNUjccMl/view?usp=drivesdk</v>
      </c>
      <c r="G1054" s="7" t="s">
        <v>310</v>
      </c>
      <c r="H1054" s="95" t="s">
        <v>3223</v>
      </c>
      <c r="I1054" s="13"/>
      <c r="J1054" s="8">
        <v>118</v>
      </c>
      <c r="K1054" s="8">
        <v>2607</v>
      </c>
      <c r="L1054" s="54">
        <v>0.29166666666666669</v>
      </c>
      <c r="M1054" s="39" t="s">
        <v>22</v>
      </c>
      <c r="N1054" s="43" t="s">
        <v>23</v>
      </c>
      <c r="O1054" s="43" t="s">
        <v>136</v>
      </c>
    </row>
    <row r="1055" spans="1:15" ht="27" customHeight="1">
      <c r="A1055" s="5">
        <v>39388</v>
      </c>
      <c r="B1055" s="18" t="s">
        <v>15</v>
      </c>
      <c r="C1055" s="34" t="s">
        <v>16</v>
      </c>
      <c r="D1055" s="7" t="s">
        <v>32</v>
      </c>
      <c r="E1055" s="69"/>
      <c r="G1055" s="7" t="s">
        <v>306</v>
      </c>
      <c r="H1055" s="95" t="s">
        <v>3208</v>
      </c>
      <c r="I1055" s="10"/>
      <c r="J1055" s="8">
        <v>80</v>
      </c>
      <c r="K1055" s="8"/>
      <c r="L1055" s="11"/>
      <c r="M1055" s="39" t="s">
        <v>22</v>
      </c>
      <c r="N1055" s="43" t="s">
        <v>23</v>
      </c>
      <c r="O1055" s="43" t="s">
        <v>24</v>
      </c>
    </row>
    <row r="1056" spans="1:15" ht="27" customHeight="1">
      <c r="A1056" s="5">
        <v>39376</v>
      </c>
      <c r="B1056" s="18" t="s">
        <v>15</v>
      </c>
      <c r="C1056" s="34" t="s">
        <v>16</v>
      </c>
      <c r="D1056" s="7" t="s">
        <v>303</v>
      </c>
      <c r="E1056" s="68" t="s">
        <v>304</v>
      </c>
      <c r="F1056" s="85" t="str">
        <f>HYPERLINK("https://drive.google.com/file/d/1GKL3LjzsOJQHz43N5C0tDQQw3OjVP_95/view?usp=drivesdk","https://drive.google.com/file/d/1GKL3LjzsOJQHz43N5C0tDQQw3OjVP_95/view?usp=drivesdk")</f>
        <v>https://drive.google.com/file/d/1GKL3LjzsOJQHz43N5C0tDQQw3OjVP_95/view?usp=drivesdk</v>
      </c>
      <c r="G1056" s="7" t="s">
        <v>305</v>
      </c>
      <c r="H1056" s="95" t="s">
        <v>3208</v>
      </c>
      <c r="I1056" s="10"/>
      <c r="J1056" s="8">
        <v>50</v>
      </c>
      <c r="K1056" s="8"/>
      <c r="L1056" s="11">
        <v>0.33333333333333331</v>
      </c>
      <c r="M1056" s="39" t="s">
        <v>22</v>
      </c>
      <c r="N1056" s="43" t="s">
        <v>23</v>
      </c>
      <c r="O1056" s="43" t="s">
        <v>136</v>
      </c>
    </row>
    <row r="1057" spans="1:15" ht="40.5" customHeight="1">
      <c r="A1057" s="5">
        <v>39375</v>
      </c>
      <c r="B1057" s="18" t="s">
        <v>15</v>
      </c>
      <c r="C1057" s="23" t="s">
        <v>16</v>
      </c>
      <c r="D1057" s="7" t="s">
        <v>32</v>
      </c>
      <c r="E1057" s="68" t="s">
        <v>301</v>
      </c>
      <c r="F1057" s="85" t="str">
        <f>HYPERLINK("https://drive.google.com/file/d/1T7ckxsGiWKozrDg9qlWLaKfCrdzm7LzL/view?usp=drivesdk","https://drive.google.com/file/d/1T7ckxsGiWKozrDg9qlWLaKfCrdzm7LzL/view?usp=drivesdk")</f>
        <v>https://drive.google.com/file/d/1T7ckxsGiWKozrDg9qlWLaKfCrdzm7LzL/view?usp=drivesdk</v>
      </c>
      <c r="G1057" s="7" t="s">
        <v>302</v>
      </c>
      <c r="H1057" s="95" t="s">
        <v>3208</v>
      </c>
      <c r="I1057" s="10"/>
      <c r="J1057" s="8">
        <v>90</v>
      </c>
      <c r="K1057" s="8">
        <v>100</v>
      </c>
      <c r="L1057" s="11">
        <v>0.3347222222222222</v>
      </c>
      <c r="M1057" s="39" t="s">
        <v>22</v>
      </c>
      <c r="N1057" s="43" t="s">
        <v>23</v>
      </c>
      <c r="O1057" s="43" t="s">
        <v>24</v>
      </c>
    </row>
    <row r="1058" spans="1:15" ht="27" customHeight="1">
      <c r="A1058" s="5">
        <v>39369</v>
      </c>
      <c r="B1058" s="18" t="s">
        <v>15</v>
      </c>
      <c r="C1058" s="23" t="s">
        <v>16</v>
      </c>
      <c r="D1058" s="7" t="s">
        <v>298</v>
      </c>
      <c r="E1058" s="68" t="s">
        <v>299</v>
      </c>
      <c r="F1058" s="85" t="str">
        <f>HYPERLINK("https://drive.google.com/file/d/1Ha6wUHopTODiXwebn3bzlaZx8nDItlgt/view?usp=drivesdk","https://drive.google.com/file/d/1Ha6wUHopTODiXwebn3bzlaZx8nDItlgt/view?usp=drivesdk")</f>
        <v>https://drive.google.com/file/d/1Ha6wUHopTODiXwebn3bzlaZx8nDItlgt/view?usp=drivesdk</v>
      </c>
      <c r="G1058" s="7" t="s">
        <v>300</v>
      </c>
      <c r="H1058" s="95" t="s">
        <v>3354</v>
      </c>
      <c r="I1058" s="10"/>
      <c r="J1058" s="8">
        <v>128</v>
      </c>
      <c r="K1058" s="8">
        <v>182</v>
      </c>
      <c r="L1058" s="54">
        <v>0</v>
      </c>
      <c r="M1058" s="39" t="s">
        <v>22</v>
      </c>
      <c r="N1058" s="43" t="s">
        <v>23</v>
      </c>
      <c r="O1058" s="43" t="s">
        <v>136</v>
      </c>
    </row>
    <row r="1059" spans="1:15" ht="40.5" customHeight="1">
      <c r="A1059" s="5">
        <v>39368</v>
      </c>
      <c r="B1059" s="18" t="s">
        <v>15</v>
      </c>
      <c r="C1059" s="23" t="s">
        <v>223</v>
      </c>
      <c r="D1059" s="7" t="s">
        <v>296</v>
      </c>
      <c r="E1059" s="69"/>
      <c r="G1059" s="7" t="s">
        <v>297</v>
      </c>
      <c r="H1059" s="95" t="s">
        <v>3209</v>
      </c>
      <c r="I1059" s="10"/>
      <c r="J1059" s="8">
        <v>42</v>
      </c>
      <c r="K1059" s="8"/>
      <c r="L1059" s="11"/>
      <c r="M1059" s="39" t="s">
        <v>19</v>
      </c>
      <c r="N1059" s="43" t="s">
        <v>294</v>
      </c>
      <c r="O1059" s="43" t="s">
        <v>295</v>
      </c>
    </row>
    <row r="1060" spans="1:15" ht="14.25" customHeight="1">
      <c r="A1060" s="5">
        <v>39362</v>
      </c>
      <c r="B1060" s="18" t="s">
        <v>15</v>
      </c>
      <c r="C1060" s="23" t="s">
        <v>16</v>
      </c>
      <c r="D1060" s="7" t="s">
        <v>291</v>
      </c>
      <c r="E1060" s="68" t="s">
        <v>292</v>
      </c>
      <c r="F1060" s="85" t="str">
        <f>HYPERLINK("https://drive.google.com/file/d/10zsAA58U67jGQasLP01f5R84nZ9Syctq/view?usp=drivesdk","https://drive.google.com/file/d/10zsAA58U67jGQasLP01f5R84nZ9Syctq/view?usp=drivesdk")</f>
        <v>https://drive.google.com/file/d/10zsAA58U67jGQasLP01f5R84nZ9Syctq/view?usp=drivesdk</v>
      </c>
      <c r="G1060" s="7" t="s">
        <v>293</v>
      </c>
      <c r="H1060" s="95" t="s">
        <v>3200</v>
      </c>
      <c r="I1060" s="10"/>
      <c r="J1060" s="8">
        <v>82</v>
      </c>
      <c r="K1060" s="8">
        <v>1612</v>
      </c>
      <c r="L1060" s="11">
        <v>0.25</v>
      </c>
      <c r="M1060" s="39" t="s">
        <v>19</v>
      </c>
      <c r="N1060" s="43" t="s">
        <v>294</v>
      </c>
      <c r="O1060" s="43" t="s">
        <v>295</v>
      </c>
    </row>
    <row r="1061" spans="1:15" ht="54" customHeight="1">
      <c r="A1061" s="5">
        <v>39361</v>
      </c>
      <c r="B1061" s="18" t="s">
        <v>15</v>
      </c>
      <c r="C1061" s="23" t="s">
        <v>16</v>
      </c>
      <c r="D1061" s="7" t="s">
        <v>289</v>
      </c>
      <c r="E1061" s="68"/>
      <c r="G1061" s="7" t="s">
        <v>290</v>
      </c>
      <c r="H1061" s="95" t="s">
        <v>3203</v>
      </c>
      <c r="I1061" s="40"/>
      <c r="J1061" s="41">
        <v>82</v>
      </c>
      <c r="K1061" s="41">
        <v>1520</v>
      </c>
      <c r="L1061" s="46"/>
      <c r="M1061" s="39" t="s">
        <v>22</v>
      </c>
      <c r="N1061" s="43" t="s">
        <v>23</v>
      </c>
      <c r="O1061" s="43" t="s">
        <v>136</v>
      </c>
    </row>
    <row r="1062" spans="1:15" ht="28.5" customHeight="1">
      <c r="A1062" s="5">
        <v>39347</v>
      </c>
      <c r="B1062" s="18" t="s">
        <v>15</v>
      </c>
      <c r="C1062" s="23" t="s">
        <v>16</v>
      </c>
      <c r="D1062" s="7" t="s">
        <v>286</v>
      </c>
      <c r="E1062" s="68" t="s">
        <v>287</v>
      </c>
      <c r="F1062" s="85" t="str">
        <f>HYPERLINK("https://drive.google.com/file/d/1pOQKWIF8UmSnZ0LZgwyiLrjlZzkTa5SN/view?usp=drivesdk","https://drive.google.com/file/d/1pOQKWIF8UmSnZ0LZgwyiLrjlZzkTa5SN/view?usp=drivesdk")</f>
        <v>https://drive.google.com/file/d/1pOQKWIF8UmSnZ0LZgwyiLrjlZzkTa5SN/view?usp=drivesdk</v>
      </c>
      <c r="G1062" s="7" t="s">
        <v>288</v>
      </c>
      <c r="H1062" s="95" t="s">
        <v>3222</v>
      </c>
      <c r="I1062" s="10"/>
      <c r="J1062" s="8">
        <v>205</v>
      </c>
      <c r="K1062" s="8">
        <v>3247</v>
      </c>
      <c r="L1062" s="11">
        <v>0.41666666666666669</v>
      </c>
      <c r="M1062" s="39" t="s">
        <v>22</v>
      </c>
      <c r="N1062" s="43" t="s">
        <v>23</v>
      </c>
      <c r="O1062" s="43" t="s">
        <v>136</v>
      </c>
    </row>
    <row r="1063" spans="1:15">
      <c r="A1063" s="5">
        <v>39341</v>
      </c>
      <c r="B1063" s="18" t="s">
        <v>15</v>
      </c>
      <c r="C1063" s="7" t="s">
        <v>131</v>
      </c>
      <c r="D1063" s="7" t="s">
        <v>284</v>
      </c>
      <c r="E1063" s="69"/>
      <c r="G1063" s="7" t="s">
        <v>285</v>
      </c>
      <c r="H1063" s="95" t="s">
        <v>3202</v>
      </c>
      <c r="I1063" s="10"/>
      <c r="J1063" s="8">
        <v>87</v>
      </c>
      <c r="K1063" s="8"/>
      <c r="L1063" s="11"/>
      <c r="M1063" s="39" t="s">
        <v>19</v>
      </c>
      <c r="N1063" s="43" t="s">
        <v>20</v>
      </c>
      <c r="O1063" s="43" t="s">
        <v>21</v>
      </c>
    </row>
    <row r="1064" spans="1:15">
      <c r="A1064" s="5">
        <v>39335</v>
      </c>
      <c r="B1064" s="18" t="s">
        <v>15</v>
      </c>
      <c r="C1064" s="34" t="s">
        <v>16</v>
      </c>
      <c r="D1064" s="7" t="s">
        <v>282</v>
      </c>
      <c r="E1064" s="69"/>
      <c r="G1064" s="7" t="s">
        <v>283</v>
      </c>
      <c r="H1064" s="73" t="s">
        <v>222</v>
      </c>
      <c r="I1064" s="10"/>
      <c r="J1064" s="8">
        <v>60</v>
      </c>
      <c r="K1064" s="8"/>
      <c r="L1064" s="11"/>
      <c r="M1064" s="39" t="s">
        <v>19</v>
      </c>
      <c r="N1064" s="43" t="s">
        <v>20</v>
      </c>
      <c r="O1064" s="43" t="s">
        <v>21</v>
      </c>
    </row>
    <row r="1065" spans="1:15" ht="27" customHeight="1">
      <c r="A1065" s="5">
        <v>39334</v>
      </c>
      <c r="B1065" s="18" t="s">
        <v>15</v>
      </c>
      <c r="C1065" s="23" t="s">
        <v>16</v>
      </c>
      <c r="D1065" s="7" t="s">
        <v>244</v>
      </c>
      <c r="E1065" s="69"/>
      <c r="G1065" s="7" t="s">
        <v>280</v>
      </c>
      <c r="H1065" s="95" t="s">
        <v>3203</v>
      </c>
      <c r="I1065" s="10"/>
      <c r="J1065" s="8">
        <v>60</v>
      </c>
      <c r="K1065" s="8"/>
      <c r="L1065" s="11"/>
      <c r="M1065" s="39" t="s">
        <v>22</v>
      </c>
      <c r="N1065" s="43" t="s">
        <v>23</v>
      </c>
      <c r="O1065" s="43" t="s">
        <v>24</v>
      </c>
    </row>
    <row r="1066" spans="1:15" ht="40.5" customHeight="1">
      <c r="A1066" s="5">
        <v>39327</v>
      </c>
      <c r="B1066" s="18" t="s">
        <v>15</v>
      </c>
      <c r="C1066" s="23" t="s">
        <v>16</v>
      </c>
      <c r="D1066" s="7" t="s">
        <v>277</v>
      </c>
      <c r="E1066" s="68" t="s">
        <v>278</v>
      </c>
      <c r="F1066" s="85" t="str">
        <f>HYPERLINK("https://drive.google.com/file/d/1pWnx9y2XKltwKsdzWLH_u_tbVFa_x9j5/view?usp=drivesdk","https://drive.google.com/file/d/1pWnx9y2XKltwKsdzWLH_u_tbVFa_x9j5/view?usp=drivesdk")</f>
        <v>https://drive.google.com/file/d/1pWnx9y2XKltwKsdzWLH_u_tbVFa_x9j5/view?usp=drivesdk</v>
      </c>
      <c r="G1066" s="7" t="s">
        <v>279</v>
      </c>
      <c r="H1066" s="95" t="s">
        <v>3344</v>
      </c>
      <c r="I1066" s="10"/>
      <c r="J1066" s="8">
        <v>145</v>
      </c>
      <c r="K1066" s="8">
        <v>454</v>
      </c>
      <c r="L1066" s="11">
        <v>0.41666666666666669</v>
      </c>
      <c r="M1066" s="39" t="s">
        <v>22</v>
      </c>
      <c r="N1066" s="43" t="s">
        <v>23</v>
      </c>
      <c r="O1066" s="43" t="s">
        <v>24</v>
      </c>
    </row>
    <row r="1067" spans="1:15" ht="27" customHeight="1">
      <c r="A1067" s="5">
        <v>39320</v>
      </c>
      <c r="B1067" s="18" t="s">
        <v>15</v>
      </c>
      <c r="C1067" s="7" t="s">
        <v>131</v>
      </c>
      <c r="D1067" s="7" t="s">
        <v>273</v>
      </c>
      <c r="E1067" s="68" t="s">
        <v>274</v>
      </c>
      <c r="F1067" s="85" t="str">
        <f>HYPERLINK("https://drive.google.com/file/d/1Ndllr9M9hFPSbpU_3DXY4QRK1gBuQzZH/view?usp=drivesdk","https://drive.google.com/file/d/1Ndllr9M9hFPSbpU_3DXY4QRK1gBuQzZH/view?usp=drivesdk")</f>
        <v>https://drive.google.com/file/d/1Ndllr9M9hFPSbpU_3DXY4QRK1gBuQzZH/view?usp=drivesdk</v>
      </c>
      <c r="G1067" s="7" t="s">
        <v>275</v>
      </c>
      <c r="H1067" s="95" t="s">
        <v>3200</v>
      </c>
      <c r="I1067" s="23" t="s">
        <v>276</v>
      </c>
      <c r="J1067" s="8">
        <v>21</v>
      </c>
      <c r="K1067" s="8">
        <v>1260</v>
      </c>
      <c r="L1067" s="11">
        <v>6.0416666666666667E-2</v>
      </c>
      <c r="M1067" s="39" t="s">
        <v>22</v>
      </c>
      <c r="N1067" s="43" t="s">
        <v>23</v>
      </c>
      <c r="O1067" s="43" t="s">
        <v>136</v>
      </c>
    </row>
    <row r="1068" spans="1:15" ht="27">
      <c r="A1068" s="5">
        <v>39313</v>
      </c>
      <c r="B1068" s="18" t="s">
        <v>15</v>
      </c>
      <c r="C1068" s="7" t="s">
        <v>131</v>
      </c>
      <c r="D1068" s="7" t="s">
        <v>270</v>
      </c>
      <c r="E1068" s="69"/>
      <c r="G1068" s="7" t="s">
        <v>271</v>
      </c>
      <c r="H1068" s="95" t="s">
        <v>3208</v>
      </c>
      <c r="I1068" s="10"/>
      <c r="J1068" s="8">
        <v>60</v>
      </c>
      <c r="K1068" s="8"/>
      <c r="L1068" s="11"/>
      <c r="M1068" s="39" t="s">
        <v>22</v>
      </c>
      <c r="N1068" s="43" t="s">
        <v>23</v>
      </c>
      <c r="O1068" s="43" t="s">
        <v>136</v>
      </c>
    </row>
    <row r="1069" spans="1:15" ht="40.5" customHeight="1">
      <c r="A1069" s="5">
        <v>39312</v>
      </c>
      <c r="B1069" s="18" t="s">
        <v>15</v>
      </c>
      <c r="C1069" s="34" t="s">
        <v>16</v>
      </c>
      <c r="D1069" s="7" t="s">
        <v>244</v>
      </c>
      <c r="E1069" s="68" t="s">
        <v>268</v>
      </c>
      <c r="F1069" s="85" t="str">
        <f>HYPERLINK("https://drive.google.com/file/d/1GL_89S6_7zKS179wrUkEoRcQn44ib7q2/view?usp=drivesdk","https://drive.google.com/file/d/1GL_89S6_7zKS179wrUkEoRcQn44ib7q2/view?usp=drivesdk")</f>
        <v>https://drive.google.com/file/d/1GL_89S6_7zKS179wrUkEoRcQn44ib7q2/view?usp=drivesdk</v>
      </c>
      <c r="G1069" s="7" t="s">
        <v>269</v>
      </c>
      <c r="H1069" s="95" t="s">
        <v>3203</v>
      </c>
      <c r="I1069" s="10"/>
      <c r="J1069" s="8">
        <v>60</v>
      </c>
      <c r="K1069" s="8">
        <v>1976</v>
      </c>
      <c r="L1069" s="11"/>
      <c r="M1069" s="39" t="s">
        <v>22</v>
      </c>
      <c r="N1069" s="43" t="s">
        <v>23</v>
      </c>
      <c r="O1069" s="43" t="s">
        <v>24</v>
      </c>
    </row>
    <row r="1070" spans="1:15">
      <c r="A1070" s="5">
        <v>39311</v>
      </c>
      <c r="B1070" s="18" t="s">
        <v>15</v>
      </c>
      <c r="C1070" s="7" t="s">
        <v>151</v>
      </c>
      <c r="D1070" s="7" t="s">
        <v>263</v>
      </c>
      <c r="E1070" s="69"/>
      <c r="G1070" s="7" t="s">
        <v>266</v>
      </c>
      <c r="H1070" s="95" t="s">
        <v>3202</v>
      </c>
      <c r="I1070" s="10"/>
      <c r="J1070" s="8">
        <v>70</v>
      </c>
      <c r="K1070" s="8"/>
      <c r="L1070" s="11"/>
      <c r="M1070" s="39" t="s">
        <v>22</v>
      </c>
      <c r="N1070" s="43" t="s">
        <v>267</v>
      </c>
      <c r="O1070" s="43" t="s">
        <v>267</v>
      </c>
    </row>
    <row r="1071" spans="1:15" ht="27" customHeight="1">
      <c r="A1071" s="5">
        <v>39310</v>
      </c>
      <c r="B1071" s="18" t="s">
        <v>15</v>
      </c>
      <c r="C1071" s="7" t="s">
        <v>151</v>
      </c>
      <c r="D1071" s="7" t="s">
        <v>263</v>
      </c>
      <c r="E1071" s="69"/>
      <c r="G1071" s="7" t="s">
        <v>264</v>
      </c>
      <c r="H1071" s="95" t="s">
        <v>3202</v>
      </c>
      <c r="I1071" s="10"/>
      <c r="J1071" s="8">
        <v>82</v>
      </c>
      <c r="K1071" s="8"/>
      <c r="L1071" s="11"/>
      <c r="M1071" s="39" t="s">
        <v>265</v>
      </c>
      <c r="N1071" s="43" t="s">
        <v>265</v>
      </c>
      <c r="O1071" s="43" t="s">
        <v>265</v>
      </c>
    </row>
    <row r="1072" spans="1:15" ht="14.25" customHeight="1">
      <c r="A1072" s="5">
        <v>39307</v>
      </c>
      <c r="B1072" s="18" t="s">
        <v>15</v>
      </c>
      <c r="C1072" s="34" t="s">
        <v>16</v>
      </c>
      <c r="D1072" s="7" t="s">
        <v>62</v>
      </c>
      <c r="E1072" s="69"/>
      <c r="G1072" s="7" t="s">
        <v>262</v>
      </c>
      <c r="H1072" s="95" t="s">
        <v>3352</v>
      </c>
      <c r="I1072" s="10"/>
      <c r="J1072" s="8">
        <v>176</v>
      </c>
      <c r="K1072" s="8">
        <v>2702</v>
      </c>
      <c r="L1072" s="11"/>
      <c r="M1072" s="39" t="s">
        <v>22</v>
      </c>
      <c r="N1072" s="43" t="s">
        <v>23</v>
      </c>
      <c r="O1072" s="43" t="s">
        <v>136</v>
      </c>
    </row>
    <row r="1073" spans="1:15">
      <c r="A1073" s="5">
        <v>39306</v>
      </c>
      <c r="B1073" s="18" t="s">
        <v>15</v>
      </c>
      <c r="C1073" s="34" t="s">
        <v>16</v>
      </c>
      <c r="D1073" s="7" t="s">
        <v>257</v>
      </c>
      <c r="E1073" s="69"/>
      <c r="G1073" s="7" t="s">
        <v>257</v>
      </c>
      <c r="H1073" s="95" t="s">
        <v>3209</v>
      </c>
      <c r="I1073" s="10"/>
      <c r="J1073" s="8">
        <v>95</v>
      </c>
      <c r="K1073" s="8"/>
      <c r="L1073" s="11"/>
      <c r="M1073" s="39" t="s">
        <v>22</v>
      </c>
      <c r="N1073" s="43" t="s">
        <v>23</v>
      </c>
      <c r="O1073" s="43" t="s">
        <v>136</v>
      </c>
    </row>
    <row r="1074" spans="1:15" ht="27">
      <c r="A1074" s="5">
        <v>39292</v>
      </c>
      <c r="B1074" s="18" t="s">
        <v>15</v>
      </c>
      <c r="C1074" s="34" t="s">
        <v>16</v>
      </c>
      <c r="D1074" s="7" t="s">
        <v>260</v>
      </c>
      <c r="E1074" s="69"/>
      <c r="G1074" s="7" t="s">
        <v>261</v>
      </c>
      <c r="H1074" s="95" t="s">
        <v>3209</v>
      </c>
      <c r="I1074" s="10"/>
      <c r="J1074" s="8">
        <v>125</v>
      </c>
      <c r="K1074" s="8"/>
      <c r="L1074" s="11"/>
      <c r="M1074" s="39" t="s">
        <v>22</v>
      </c>
      <c r="N1074" s="43" t="s">
        <v>23</v>
      </c>
      <c r="O1074" s="43" t="s">
        <v>24</v>
      </c>
    </row>
    <row r="1075" spans="1:15" ht="40.5">
      <c r="A1075" s="5">
        <v>39291</v>
      </c>
      <c r="B1075" s="18" t="s">
        <v>15</v>
      </c>
      <c r="C1075" s="34" t="s">
        <v>16</v>
      </c>
      <c r="D1075" s="7" t="s">
        <v>257</v>
      </c>
      <c r="E1075" s="68" t="s">
        <v>258</v>
      </c>
      <c r="F1075" s="85" t="str">
        <f>HYPERLINK("https://drive.google.com/file/d/1C3_Id1sqn5TkCAJKcSCr1I05NlKyLy1H/view?usp=drivesdk","https://drive.google.com/file/d/1C3_Id1sqn5TkCAJKcSCr1I05NlKyLy1H/view?usp=drivesdk")</f>
        <v>https://drive.google.com/file/d/1C3_Id1sqn5TkCAJKcSCr1I05NlKyLy1H/view?usp=drivesdk</v>
      </c>
      <c r="G1075" s="7" t="s">
        <v>259</v>
      </c>
      <c r="H1075" s="95" t="s">
        <v>3209</v>
      </c>
      <c r="I1075" s="10"/>
      <c r="J1075" s="8">
        <v>125</v>
      </c>
      <c r="K1075" s="8">
        <v>2205</v>
      </c>
      <c r="L1075" s="54">
        <v>0.33333333333333331</v>
      </c>
      <c r="M1075" s="39" t="s">
        <v>22</v>
      </c>
      <c r="N1075" s="43" t="s">
        <v>23</v>
      </c>
      <c r="O1075" s="43" t="s">
        <v>136</v>
      </c>
    </row>
    <row r="1076" spans="1:15" ht="27">
      <c r="A1076" s="5">
        <v>39285</v>
      </c>
      <c r="B1076" s="18" t="s">
        <v>15</v>
      </c>
      <c r="C1076" s="7" t="s">
        <v>131</v>
      </c>
      <c r="D1076" s="7" t="s">
        <v>255</v>
      </c>
      <c r="E1076" s="69"/>
      <c r="G1076" s="7" t="s">
        <v>256</v>
      </c>
      <c r="H1076" s="95" t="s">
        <v>3202</v>
      </c>
      <c r="I1076" s="10"/>
      <c r="J1076" s="8"/>
      <c r="K1076" s="8"/>
      <c r="L1076" s="11"/>
      <c r="M1076" s="39" t="s">
        <v>19</v>
      </c>
      <c r="N1076" s="43" t="s">
        <v>20</v>
      </c>
      <c r="O1076" s="43" t="s">
        <v>21</v>
      </c>
    </row>
    <row r="1077" spans="1:15" ht="40.5" customHeight="1">
      <c r="A1077" s="5">
        <v>39279</v>
      </c>
      <c r="B1077" s="18" t="s">
        <v>15</v>
      </c>
      <c r="C1077" s="23" t="s">
        <v>16</v>
      </c>
      <c r="D1077" s="7" t="s">
        <v>253</v>
      </c>
      <c r="E1077" s="69"/>
      <c r="G1077" s="7" t="s">
        <v>254</v>
      </c>
      <c r="H1077" s="95" t="s">
        <v>3352</v>
      </c>
      <c r="I1077" s="10"/>
      <c r="J1077" s="8">
        <v>210</v>
      </c>
      <c r="K1077" s="8">
        <v>2500</v>
      </c>
      <c r="L1077" s="11"/>
      <c r="M1077" s="39" t="s">
        <v>22</v>
      </c>
      <c r="N1077" s="43" t="s">
        <v>23</v>
      </c>
      <c r="O1077" s="43" t="s">
        <v>136</v>
      </c>
    </row>
    <row r="1078" spans="1:15" ht="27">
      <c r="A1078" s="5">
        <v>39271</v>
      </c>
      <c r="B1078" s="62" t="s">
        <v>246</v>
      </c>
      <c r="C1078" s="23" t="s">
        <v>196</v>
      </c>
      <c r="D1078" s="7" t="s">
        <v>252</v>
      </c>
      <c r="E1078" s="69"/>
      <c r="G1078" s="7" t="s">
        <v>248</v>
      </c>
      <c r="H1078" s="95" t="s">
        <v>3217</v>
      </c>
      <c r="I1078" s="10"/>
      <c r="J1078" s="8">
        <v>80</v>
      </c>
      <c r="K1078" s="8"/>
      <c r="L1078" s="11"/>
      <c r="M1078" s="39" t="s">
        <v>19</v>
      </c>
      <c r="N1078" s="43" t="s">
        <v>20</v>
      </c>
      <c r="O1078" s="43" t="s">
        <v>21</v>
      </c>
    </row>
    <row r="1079" spans="1:15">
      <c r="A1079" s="5">
        <v>39264</v>
      </c>
      <c r="B1079" s="18" t="s">
        <v>15</v>
      </c>
      <c r="C1079" s="34" t="s">
        <v>16</v>
      </c>
      <c r="D1079" s="7" t="s">
        <v>250</v>
      </c>
      <c r="E1079" s="69"/>
      <c r="G1079" s="7" t="s">
        <v>251</v>
      </c>
      <c r="H1079" s="95" t="s">
        <v>3198</v>
      </c>
      <c r="I1079" s="10"/>
      <c r="J1079" s="8">
        <v>35</v>
      </c>
      <c r="K1079" s="8"/>
      <c r="L1079" s="11"/>
      <c r="M1079" s="39" t="s">
        <v>102</v>
      </c>
      <c r="N1079" s="43" t="s">
        <v>194</v>
      </c>
      <c r="O1079" s="43" t="s">
        <v>195</v>
      </c>
    </row>
    <row r="1080" spans="1:15" ht="27">
      <c r="A1080" s="5">
        <v>39256</v>
      </c>
      <c r="B1080" s="62" t="s">
        <v>246</v>
      </c>
      <c r="C1080" s="23" t="s">
        <v>196</v>
      </c>
      <c r="D1080" s="7" t="s">
        <v>247</v>
      </c>
      <c r="E1080" s="69"/>
      <c r="G1080" s="7" t="s">
        <v>3220</v>
      </c>
      <c r="H1080" s="95" t="s">
        <v>3217</v>
      </c>
      <c r="I1080" s="10"/>
      <c r="J1080" s="8">
        <v>82</v>
      </c>
      <c r="K1080" s="8">
        <v>1360</v>
      </c>
      <c r="L1080" s="11"/>
      <c r="M1080" s="39" t="s">
        <v>19</v>
      </c>
      <c r="N1080" s="43" t="s">
        <v>20</v>
      </c>
      <c r="O1080" s="43" t="s">
        <v>21</v>
      </c>
    </row>
    <row r="1081" spans="1:15">
      <c r="A1081" s="5">
        <v>39253</v>
      </c>
      <c r="B1081" s="18" t="s">
        <v>15</v>
      </c>
      <c r="C1081" s="34" t="s">
        <v>16</v>
      </c>
      <c r="D1081" s="7" t="s">
        <v>32</v>
      </c>
      <c r="E1081" s="69"/>
      <c r="G1081" s="7" t="s">
        <v>245</v>
      </c>
      <c r="H1081" s="73" t="s">
        <v>222</v>
      </c>
      <c r="I1081" s="10"/>
      <c r="J1081" s="8">
        <v>60</v>
      </c>
      <c r="K1081" s="8"/>
      <c r="L1081" s="11"/>
      <c r="M1081" s="39" t="s">
        <v>102</v>
      </c>
      <c r="N1081" s="43" t="s">
        <v>194</v>
      </c>
      <c r="O1081" s="43" t="s">
        <v>195</v>
      </c>
    </row>
    <row r="1082" spans="1:15" ht="27" customHeight="1">
      <c r="A1082" s="5">
        <v>39250</v>
      </c>
      <c r="B1082" s="18" t="s">
        <v>15</v>
      </c>
      <c r="C1082" s="34" t="s">
        <v>16</v>
      </c>
      <c r="D1082" s="7" t="s">
        <v>17</v>
      </c>
      <c r="E1082" s="69"/>
      <c r="G1082" s="7" t="s">
        <v>17</v>
      </c>
      <c r="H1082" s="95" t="s">
        <v>3208</v>
      </c>
      <c r="I1082" s="10"/>
      <c r="J1082" s="8">
        <v>40</v>
      </c>
      <c r="K1082" s="8"/>
      <c r="L1082" s="11"/>
      <c r="M1082" s="39" t="s">
        <v>22</v>
      </c>
      <c r="N1082" s="43" t="s">
        <v>23</v>
      </c>
      <c r="O1082" s="43" t="s">
        <v>24</v>
      </c>
    </row>
    <row r="1083" spans="1:15" ht="27" customHeight="1">
      <c r="A1083" s="5">
        <v>39249</v>
      </c>
      <c r="B1083" s="18" t="s">
        <v>15</v>
      </c>
      <c r="C1083" s="23" t="s">
        <v>223</v>
      </c>
      <c r="D1083" s="7" t="s">
        <v>241</v>
      </c>
      <c r="E1083" s="68" t="s">
        <v>242</v>
      </c>
      <c r="F1083" s="85" t="str">
        <f>HYPERLINK("https://drive.google.com/file/d/1gNcEMPYtTM2VO5Z5T9_15eRAEQC81NBj/view?usp=drivesdk","https://drive.google.com/file/d/1gNcEMPYtTM2VO5Z5T9_15eRAEQC81NBj/view?usp=drivesdk")</f>
        <v>https://drive.google.com/file/d/1gNcEMPYtTM2VO5Z5T9_15eRAEQC81NBj/view?usp=drivesdk</v>
      </c>
      <c r="G1083" s="7" t="s">
        <v>243</v>
      </c>
      <c r="H1083" s="95" t="s">
        <v>3355</v>
      </c>
      <c r="I1083" s="7" t="s">
        <v>244</v>
      </c>
      <c r="J1083" s="8">
        <v>120</v>
      </c>
      <c r="K1083" s="8">
        <v>2510</v>
      </c>
      <c r="L1083" s="11">
        <v>0.41666666666666669</v>
      </c>
      <c r="M1083" s="39" t="s">
        <v>22</v>
      </c>
      <c r="N1083" s="43" t="s">
        <v>23</v>
      </c>
      <c r="O1083" s="43" t="s">
        <v>24</v>
      </c>
    </row>
    <row r="1084" spans="1:15">
      <c r="A1084" s="5">
        <v>39236</v>
      </c>
      <c r="B1084" s="18" t="s">
        <v>15</v>
      </c>
      <c r="C1084" s="7" t="s">
        <v>131</v>
      </c>
      <c r="D1084" s="7" t="s">
        <v>240</v>
      </c>
      <c r="E1084" s="69"/>
      <c r="G1084" s="7" t="s">
        <v>133</v>
      </c>
      <c r="H1084" s="95" t="s">
        <v>3203</v>
      </c>
      <c r="I1084" s="10"/>
      <c r="J1084" s="8">
        <v>24</v>
      </c>
      <c r="K1084" s="8">
        <v>1255</v>
      </c>
      <c r="L1084" s="11">
        <v>5.9722222222222232E-2</v>
      </c>
      <c r="M1084" s="39" t="s">
        <v>22</v>
      </c>
      <c r="N1084" s="43" t="s">
        <v>23</v>
      </c>
      <c r="O1084" s="43" t="s">
        <v>136</v>
      </c>
    </row>
    <row r="1085" spans="1:15" ht="27">
      <c r="A1085" s="5">
        <v>39229</v>
      </c>
      <c r="B1085" s="18" t="s">
        <v>15</v>
      </c>
      <c r="C1085" s="23" t="s">
        <v>16</v>
      </c>
      <c r="D1085" s="7" t="s">
        <v>238</v>
      </c>
      <c r="E1085" s="69"/>
      <c r="G1085" s="7" t="s">
        <v>239</v>
      </c>
      <c r="H1085" s="95" t="s">
        <v>3348</v>
      </c>
      <c r="I1085" s="81" t="s">
        <v>29</v>
      </c>
      <c r="J1085" s="8">
        <v>184</v>
      </c>
      <c r="K1085" s="8">
        <v>2320</v>
      </c>
      <c r="L1085" s="11"/>
      <c r="M1085" s="39" t="s">
        <v>22</v>
      </c>
      <c r="N1085" s="43" t="s">
        <v>23</v>
      </c>
      <c r="O1085" s="43" t="s">
        <v>136</v>
      </c>
    </row>
    <row r="1086" spans="1:15" ht="40.5">
      <c r="A1086" s="5">
        <v>39221</v>
      </c>
      <c r="B1086" s="18" t="s">
        <v>15</v>
      </c>
      <c r="C1086" s="7" t="s">
        <v>151</v>
      </c>
      <c r="D1086" s="7" t="s">
        <v>236</v>
      </c>
      <c r="E1086" s="68" t="s">
        <v>237</v>
      </c>
      <c r="F1086" s="85" t="str">
        <f>HYPERLINK("https://drive.google.com/file/d/1V7BESP75wEKWFifd1AODuQV4FeoB7zrN/view?usp=drivesdk","https://drive.google.com/file/d/1V7BESP75wEKWFifd1AODuQV4FeoB7zrN/view?usp=drivesdk")</f>
        <v>https://drive.google.com/file/d/1V7BESP75wEKWFifd1AODuQV4FeoB7zrN/view?usp=drivesdk</v>
      </c>
      <c r="G1086" s="7" t="s">
        <v>236</v>
      </c>
      <c r="H1086" s="95" t="s">
        <v>3218</v>
      </c>
      <c r="I1086" s="10"/>
      <c r="J1086" s="8">
        <v>291</v>
      </c>
      <c r="K1086" s="8">
        <v>2360</v>
      </c>
      <c r="L1086" s="11">
        <v>0.66666666666666663</v>
      </c>
      <c r="M1086" s="39" t="s">
        <v>22</v>
      </c>
      <c r="N1086" s="43" t="s">
        <v>23</v>
      </c>
      <c r="O1086" s="43" t="s">
        <v>136</v>
      </c>
    </row>
    <row r="1087" spans="1:15" ht="27" customHeight="1">
      <c r="A1087" s="5">
        <v>39215</v>
      </c>
      <c r="B1087" s="18" t="s">
        <v>15</v>
      </c>
      <c r="C1087" s="34" t="s">
        <v>16</v>
      </c>
      <c r="D1087" s="7" t="s">
        <v>17</v>
      </c>
      <c r="E1087" s="69"/>
      <c r="G1087" s="7" t="s">
        <v>18</v>
      </c>
      <c r="H1087" s="95" t="s">
        <v>3198</v>
      </c>
      <c r="I1087" s="10"/>
      <c r="J1087" s="8">
        <v>65</v>
      </c>
      <c r="K1087" s="8"/>
      <c r="L1087" s="11"/>
      <c r="M1087" s="39" t="s">
        <v>102</v>
      </c>
      <c r="N1087" s="43" t="s">
        <v>194</v>
      </c>
      <c r="O1087" s="43" t="s">
        <v>195</v>
      </c>
    </row>
    <row r="1088" spans="1:15">
      <c r="A1088" s="5">
        <v>39214</v>
      </c>
      <c r="B1088" s="18" t="s">
        <v>15</v>
      </c>
      <c r="C1088" s="23" t="s">
        <v>16</v>
      </c>
      <c r="D1088" s="7" t="s">
        <v>234</v>
      </c>
      <c r="E1088" s="69"/>
      <c r="G1088" s="7" t="s">
        <v>235</v>
      </c>
      <c r="H1088" s="95" t="s">
        <v>3344</v>
      </c>
      <c r="I1088" s="10"/>
      <c r="J1088" s="8">
        <v>185</v>
      </c>
      <c r="K1088" s="8">
        <v>1934</v>
      </c>
      <c r="L1088" s="11"/>
      <c r="M1088" s="39" t="s">
        <v>22</v>
      </c>
      <c r="N1088" s="43" t="s">
        <v>23</v>
      </c>
      <c r="O1088" s="43" t="s">
        <v>136</v>
      </c>
    </row>
    <row r="1089" spans="1:15" ht="27">
      <c r="A1089" s="5">
        <v>39206</v>
      </c>
      <c r="B1089" s="18" t="s">
        <v>15</v>
      </c>
      <c r="C1089" s="7" t="s">
        <v>151</v>
      </c>
      <c r="D1089" s="7" t="s">
        <v>232</v>
      </c>
      <c r="E1089" s="69"/>
      <c r="G1089" s="7" t="s">
        <v>233</v>
      </c>
      <c r="H1089" s="95" t="s">
        <v>3202</v>
      </c>
      <c r="I1089" s="10"/>
      <c r="J1089" s="8"/>
      <c r="K1089" s="8"/>
      <c r="L1089" s="11"/>
      <c r="M1089" s="39" t="s">
        <v>19</v>
      </c>
      <c r="N1089" s="43" t="s">
        <v>20</v>
      </c>
      <c r="O1089" s="43" t="s">
        <v>21</v>
      </c>
    </row>
    <row r="1090" spans="1:15" ht="14.25" customHeight="1">
      <c r="A1090" s="5">
        <v>39205</v>
      </c>
      <c r="B1090" s="18" t="s">
        <v>15</v>
      </c>
      <c r="C1090" s="7" t="s">
        <v>151</v>
      </c>
      <c r="D1090" s="7" t="s">
        <v>230</v>
      </c>
      <c r="E1090" s="69"/>
      <c r="G1090" s="7" t="s">
        <v>231</v>
      </c>
      <c r="H1090" s="95" t="s">
        <v>3202</v>
      </c>
      <c r="I1090" s="10"/>
      <c r="J1090" s="8"/>
      <c r="K1090" s="8"/>
      <c r="L1090" s="11"/>
      <c r="M1090" s="39" t="s">
        <v>19</v>
      </c>
      <c r="N1090" s="43" t="s">
        <v>20</v>
      </c>
      <c r="O1090" s="43" t="s">
        <v>21</v>
      </c>
    </row>
    <row r="1091" spans="1:15" ht="14.25" customHeight="1">
      <c r="A1091" s="5">
        <v>39204</v>
      </c>
      <c r="B1091" s="18" t="s">
        <v>15</v>
      </c>
      <c r="C1091" s="7" t="s">
        <v>151</v>
      </c>
      <c r="D1091" s="7" t="s">
        <v>228</v>
      </c>
      <c r="E1091" s="69"/>
      <c r="G1091" s="7" t="s">
        <v>229</v>
      </c>
      <c r="H1091" s="95" t="s">
        <v>3202</v>
      </c>
      <c r="I1091" s="10"/>
      <c r="J1091" s="8">
        <v>110</v>
      </c>
      <c r="K1091" s="8"/>
      <c r="L1091" s="11"/>
      <c r="M1091" s="39" t="s">
        <v>22</v>
      </c>
      <c r="N1091" s="43" t="s">
        <v>23</v>
      </c>
      <c r="O1091" s="43" t="s">
        <v>136</v>
      </c>
    </row>
    <row r="1092" spans="1:15" ht="28.5" customHeight="1">
      <c r="A1092" s="5">
        <v>39203</v>
      </c>
      <c r="B1092" s="18" t="s">
        <v>15</v>
      </c>
      <c r="C1092" s="7" t="s">
        <v>151</v>
      </c>
      <c r="D1092" s="7" t="s">
        <v>226</v>
      </c>
      <c r="E1092" s="69"/>
      <c r="G1092" s="7" t="s">
        <v>227</v>
      </c>
      <c r="H1092" s="95" t="s">
        <v>3218</v>
      </c>
      <c r="I1092" s="10"/>
      <c r="J1092" s="8">
        <v>140</v>
      </c>
      <c r="K1092" s="8"/>
      <c r="L1092" s="11"/>
      <c r="M1092" s="39" t="s">
        <v>22</v>
      </c>
      <c r="N1092" s="43" t="s">
        <v>23</v>
      </c>
      <c r="O1092" s="43" t="s">
        <v>136</v>
      </c>
    </row>
    <row r="1093" spans="1:15" ht="27">
      <c r="A1093" s="5">
        <v>39202</v>
      </c>
      <c r="B1093" s="18" t="s">
        <v>15</v>
      </c>
      <c r="C1093" s="23" t="s">
        <v>223</v>
      </c>
      <c r="D1093" s="7" t="s">
        <v>224</v>
      </c>
      <c r="E1093" s="69"/>
      <c r="G1093" s="7" t="s">
        <v>225</v>
      </c>
      <c r="H1093" s="95" t="s">
        <v>3209</v>
      </c>
      <c r="I1093" s="10"/>
      <c r="J1093" s="8"/>
      <c r="K1093" s="8"/>
      <c r="L1093" s="11"/>
      <c r="M1093" s="39" t="s">
        <v>19</v>
      </c>
      <c r="N1093" s="43" t="s">
        <v>20</v>
      </c>
      <c r="O1093" s="43" t="s">
        <v>21</v>
      </c>
    </row>
    <row r="1094" spans="1:15" ht="54" customHeight="1">
      <c r="A1094" s="5">
        <v>39201</v>
      </c>
      <c r="B1094" s="18" t="s">
        <v>15</v>
      </c>
      <c r="C1094" s="23" t="s">
        <v>16</v>
      </c>
      <c r="D1094" s="7" t="s">
        <v>220</v>
      </c>
      <c r="E1094" s="69"/>
      <c r="G1094" s="7" t="s">
        <v>221</v>
      </c>
      <c r="H1094" s="95" t="s">
        <v>3209</v>
      </c>
      <c r="I1094" s="10"/>
      <c r="J1094" s="8">
        <v>111</v>
      </c>
      <c r="K1094" s="8">
        <v>1440</v>
      </c>
      <c r="L1094" s="11"/>
      <c r="M1094" s="39" t="s">
        <v>22</v>
      </c>
      <c r="N1094" s="43" t="s">
        <v>23</v>
      </c>
      <c r="O1094" s="43" t="s">
        <v>136</v>
      </c>
    </row>
    <row r="1095" spans="1:15" ht="27" customHeight="1">
      <c r="A1095" s="5">
        <v>39194</v>
      </c>
      <c r="B1095" s="18" t="s">
        <v>15</v>
      </c>
      <c r="C1095" s="34" t="s">
        <v>16</v>
      </c>
      <c r="D1095" s="7" t="s">
        <v>218</v>
      </c>
      <c r="E1095" s="69"/>
      <c r="G1095" s="7" t="s">
        <v>219</v>
      </c>
      <c r="H1095" s="95" t="s">
        <v>3209</v>
      </c>
      <c r="I1095" s="13" t="s">
        <v>47</v>
      </c>
      <c r="J1095" s="8">
        <v>110</v>
      </c>
      <c r="K1095" s="8"/>
      <c r="L1095" s="11"/>
      <c r="M1095" s="39" t="s">
        <v>22</v>
      </c>
      <c r="N1095" s="43" t="s">
        <v>23</v>
      </c>
      <c r="O1095" s="43" t="s">
        <v>136</v>
      </c>
    </row>
    <row r="1096" spans="1:15" ht="27">
      <c r="A1096" s="5">
        <v>39193</v>
      </c>
      <c r="B1096" s="18" t="s">
        <v>15</v>
      </c>
      <c r="C1096" s="23" t="s">
        <v>16</v>
      </c>
      <c r="D1096" s="7" t="s">
        <v>216</v>
      </c>
      <c r="E1096" s="69"/>
      <c r="G1096" s="7" t="s">
        <v>217</v>
      </c>
      <c r="H1096" s="95" t="s">
        <v>3348</v>
      </c>
      <c r="I1096" s="10"/>
      <c r="J1096" s="8">
        <v>200</v>
      </c>
      <c r="K1096" s="8">
        <v>2740</v>
      </c>
      <c r="L1096" s="11"/>
      <c r="M1096" s="39" t="s">
        <v>22</v>
      </c>
      <c r="N1096" s="43" t="s">
        <v>23</v>
      </c>
      <c r="O1096" s="43" t="s">
        <v>136</v>
      </c>
    </row>
    <row r="1097" spans="1:15" ht="27">
      <c r="A1097" s="5">
        <v>39186</v>
      </c>
      <c r="B1097" s="18" t="s">
        <v>15</v>
      </c>
      <c r="C1097" s="34" t="s">
        <v>16</v>
      </c>
      <c r="D1097" s="7" t="s">
        <v>214</v>
      </c>
      <c r="E1097" s="69"/>
      <c r="G1097" s="7" t="s">
        <v>215</v>
      </c>
      <c r="H1097" s="95" t="s">
        <v>3217</v>
      </c>
      <c r="I1097" s="10"/>
      <c r="J1097" s="8">
        <v>110</v>
      </c>
      <c r="K1097" s="8">
        <v>1830</v>
      </c>
      <c r="L1097" s="11"/>
      <c r="M1097" s="39" t="s">
        <v>102</v>
      </c>
      <c r="N1097" s="43" t="s">
        <v>194</v>
      </c>
      <c r="O1097" s="43" t="s">
        <v>195</v>
      </c>
    </row>
    <row r="1098" spans="1:15" ht="27">
      <c r="A1098" s="5">
        <v>39180</v>
      </c>
      <c r="B1098" s="18" t="s">
        <v>15</v>
      </c>
      <c r="C1098" s="7" t="s">
        <v>131</v>
      </c>
      <c r="D1098" s="7" t="s">
        <v>212</v>
      </c>
      <c r="E1098" s="69"/>
      <c r="G1098" s="7" t="s">
        <v>213</v>
      </c>
      <c r="H1098" s="95" t="s">
        <v>3215</v>
      </c>
      <c r="I1098" s="10"/>
      <c r="J1098" s="8">
        <v>12</v>
      </c>
      <c r="K1098" s="8"/>
      <c r="L1098" s="11"/>
      <c r="M1098" s="39" t="s">
        <v>22</v>
      </c>
      <c r="N1098" s="43" t="s">
        <v>23</v>
      </c>
      <c r="O1098" s="43" t="s">
        <v>136</v>
      </c>
    </row>
    <row r="1099" spans="1:15">
      <c r="A1099" s="5">
        <v>39179</v>
      </c>
      <c r="B1099" s="18" t="s">
        <v>15</v>
      </c>
      <c r="C1099" s="34" t="s">
        <v>16</v>
      </c>
      <c r="D1099" s="7" t="s">
        <v>190</v>
      </c>
      <c r="E1099" s="69"/>
      <c r="G1099" s="7" t="s">
        <v>190</v>
      </c>
      <c r="H1099" s="95" t="s">
        <v>3198</v>
      </c>
      <c r="I1099" s="24" t="s">
        <v>40</v>
      </c>
      <c r="J1099" s="8">
        <v>25</v>
      </c>
      <c r="K1099" s="8"/>
      <c r="L1099" s="11"/>
      <c r="M1099" s="39" t="s">
        <v>102</v>
      </c>
      <c r="N1099" s="43" t="s">
        <v>194</v>
      </c>
      <c r="O1099" s="43" t="s">
        <v>195</v>
      </c>
    </row>
    <row r="1100" spans="1:15">
      <c r="A1100" s="5">
        <v>39179</v>
      </c>
      <c r="B1100" s="18" t="s">
        <v>15</v>
      </c>
      <c r="C1100" s="34" t="s">
        <v>16</v>
      </c>
      <c r="D1100" s="7" t="s">
        <v>208</v>
      </c>
      <c r="E1100" s="69"/>
      <c r="G1100" s="7" t="s">
        <v>211</v>
      </c>
      <c r="H1100" s="95" t="s">
        <v>3198</v>
      </c>
      <c r="I1100" s="24" t="s">
        <v>40</v>
      </c>
      <c r="J1100" s="8">
        <v>60</v>
      </c>
      <c r="K1100" s="8"/>
      <c r="L1100" s="11"/>
      <c r="M1100" s="39" t="s">
        <v>22</v>
      </c>
      <c r="N1100" s="43" t="s">
        <v>23</v>
      </c>
      <c r="O1100" s="43" t="s">
        <v>136</v>
      </c>
    </row>
    <row r="1101" spans="1:15" ht="27">
      <c r="A1101" s="5">
        <v>39173</v>
      </c>
      <c r="B1101" s="18" t="s">
        <v>15</v>
      </c>
      <c r="C1101" s="34" t="s">
        <v>16</v>
      </c>
      <c r="D1101" s="7" t="s">
        <v>27</v>
      </c>
      <c r="E1101" s="69"/>
      <c r="G1101" s="7" t="s">
        <v>210</v>
      </c>
      <c r="H1101" s="95" t="s">
        <v>3208</v>
      </c>
      <c r="I1101" s="81" t="s">
        <v>29</v>
      </c>
      <c r="J1101" s="8">
        <v>140</v>
      </c>
      <c r="K1101" s="8">
        <v>1245</v>
      </c>
      <c r="L1101" s="11"/>
      <c r="M1101" s="39" t="s">
        <v>22</v>
      </c>
      <c r="N1101" s="43" t="s">
        <v>23</v>
      </c>
      <c r="O1101" s="43" t="s">
        <v>136</v>
      </c>
    </row>
    <row r="1102" spans="1:15" ht="27">
      <c r="A1102" s="5">
        <v>39171</v>
      </c>
      <c r="B1102" s="18" t="s">
        <v>15</v>
      </c>
      <c r="C1102" s="34" t="s">
        <v>16</v>
      </c>
      <c r="D1102" s="7" t="s">
        <v>208</v>
      </c>
      <c r="E1102" s="69"/>
      <c r="G1102" s="7" t="s">
        <v>209</v>
      </c>
      <c r="H1102" s="95" t="s">
        <v>3198</v>
      </c>
      <c r="I1102" s="10"/>
      <c r="J1102" s="8">
        <v>95</v>
      </c>
      <c r="K1102" s="8"/>
      <c r="L1102" s="11"/>
      <c r="M1102" s="39" t="s">
        <v>102</v>
      </c>
      <c r="N1102" s="43" t="s">
        <v>194</v>
      </c>
      <c r="O1102" s="43" t="s">
        <v>195</v>
      </c>
    </row>
    <row r="1103" spans="1:15" ht="40.5" customHeight="1">
      <c r="A1103" s="5">
        <v>39166</v>
      </c>
      <c r="B1103" s="18" t="s">
        <v>15</v>
      </c>
      <c r="C1103" s="7" t="s">
        <v>131</v>
      </c>
      <c r="D1103" s="7" t="s">
        <v>206</v>
      </c>
      <c r="E1103" s="69"/>
      <c r="G1103" s="7" t="s">
        <v>207</v>
      </c>
      <c r="H1103" s="95" t="s">
        <v>3216</v>
      </c>
      <c r="I1103" s="10"/>
      <c r="J1103" s="8"/>
      <c r="K1103" s="8"/>
      <c r="L1103" s="11"/>
      <c r="M1103" s="39" t="s">
        <v>22</v>
      </c>
      <c r="N1103" s="43" t="s">
        <v>23</v>
      </c>
      <c r="O1103" s="43" t="s">
        <v>136</v>
      </c>
    </row>
    <row r="1104" spans="1:15">
      <c r="A1104" s="5">
        <v>39162</v>
      </c>
      <c r="B1104" s="18" t="s">
        <v>15</v>
      </c>
      <c r="C1104" s="34" t="s">
        <v>16</v>
      </c>
      <c r="D1104" s="7" t="s">
        <v>110</v>
      </c>
      <c r="E1104" s="69"/>
      <c r="G1104" s="7" t="s">
        <v>205</v>
      </c>
      <c r="H1104" s="95" t="s">
        <v>3198</v>
      </c>
      <c r="I1104" s="10"/>
      <c r="J1104" s="8">
        <v>80</v>
      </c>
      <c r="K1104" s="8">
        <v>800</v>
      </c>
      <c r="L1104" s="11"/>
      <c r="M1104" s="39" t="s">
        <v>22</v>
      </c>
      <c r="N1104" s="43" t="s">
        <v>23</v>
      </c>
      <c r="O1104" s="43" t="s">
        <v>136</v>
      </c>
    </row>
    <row r="1105" spans="1:15" ht="40.5" customHeight="1">
      <c r="A1105" s="5">
        <v>39159</v>
      </c>
      <c r="B1105" s="18" t="s">
        <v>15</v>
      </c>
      <c r="C1105" s="34" t="s">
        <v>16</v>
      </c>
      <c r="D1105" s="7" t="s">
        <v>172</v>
      </c>
      <c r="E1105" s="69"/>
      <c r="G1105" s="7" t="s">
        <v>204</v>
      </c>
      <c r="H1105" s="95" t="s">
        <v>3198</v>
      </c>
      <c r="I1105" s="10"/>
      <c r="J1105" s="8">
        <v>78</v>
      </c>
      <c r="K1105" s="8"/>
      <c r="L1105" s="11"/>
      <c r="M1105" s="39" t="s">
        <v>22</v>
      </c>
      <c r="N1105" s="43" t="s">
        <v>23</v>
      </c>
      <c r="O1105" s="43" t="s">
        <v>136</v>
      </c>
    </row>
    <row r="1106" spans="1:15" ht="14.25" customHeight="1">
      <c r="A1106" s="5">
        <v>39152</v>
      </c>
      <c r="B1106" s="18" t="s">
        <v>15</v>
      </c>
      <c r="C1106" s="34" t="s">
        <v>16</v>
      </c>
      <c r="D1106" s="7" t="s">
        <v>202</v>
      </c>
      <c r="E1106" s="69"/>
      <c r="G1106" s="7" t="s">
        <v>203</v>
      </c>
      <c r="H1106" s="95" t="s">
        <v>3198</v>
      </c>
      <c r="I1106" s="10"/>
      <c r="J1106" s="8"/>
      <c r="K1106" s="8"/>
      <c r="L1106" s="11"/>
      <c r="M1106" s="39" t="s">
        <v>102</v>
      </c>
      <c r="N1106" s="43" t="s">
        <v>194</v>
      </c>
      <c r="O1106" s="43" t="s">
        <v>195</v>
      </c>
    </row>
    <row r="1107" spans="1:15" ht="27" customHeight="1">
      <c r="A1107" s="5">
        <v>39151</v>
      </c>
      <c r="B1107" s="18" t="s">
        <v>15</v>
      </c>
      <c r="C1107" s="34" t="s">
        <v>16</v>
      </c>
      <c r="D1107" s="7" t="s">
        <v>199</v>
      </c>
      <c r="E1107" s="68" t="s">
        <v>200</v>
      </c>
      <c r="F1107" s="85" t="str">
        <f>HYPERLINK("https://drive.google.com/file/d/1PeFASAnAY9QDEXTCbkQT4dlsDh9JJ_VA/view?usp=drivesdk","https://drive.google.com/file/d/1PeFASAnAY9QDEXTCbkQT4dlsDh9JJ_VA/view?usp=drivesdk")</f>
        <v>https://drive.google.com/file/d/1PeFASAnAY9QDEXTCbkQT4dlsDh9JJ_VA/view?usp=drivesdk</v>
      </c>
      <c r="G1107" s="7" t="s">
        <v>201</v>
      </c>
      <c r="H1107" s="95" t="s">
        <v>3209</v>
      </c>
      <c r="I1107" s="10"/>
      <c r="J1107" s="8">
        <v>125</v>
      </c>
      <c r="K1107" s="45">
        <v>1962</v>
      </c>
      <c r="L1107" s="11">
        <v>0.33333333333333331</v>
      </c>
      <c r="M1107" s="39" t="s">
        <v>22</v>
      </c>
      <c r="N1107" s="43" t="s">
        <v>23</v>
      </c>
      <c r="O1107" s="43" t="s">
        <v>136</v>
      </c>
    </row>
    <row r="1108" spans="1:15" ht="14.25" customHeight="1">
      <c r="A1108" s="5">
        <v>39145</v>
      </c>
      <c r="B1108" s="18" t="s">
        <v>15</v>
      </c>
      <c r="C1108" s="23" t="s">
        <v>196</v>
      </c>
      <c r="D1108" s="7" t="s">
        <v>197</v>
      </c>
      <c r="E1108" s="69"/>
      <c r="G1108" s="7" t="s">
        <v>198</v>
      </c>
      <c r="H1108" s="95" t="s">
        <v>3198</v>
      </c>
      <c r="I1108" s="10"/>
      <c r="J1108" s="8">
        <v>31</v>
      </c>
      <c r="K1108" s="8">
        <v>1272</v>
      </c>
      <c r="L1108" s="11"/>
      <c r="M1108" s="39" t="s">
        <v>19</v>
      </c>
      <c r="N1108" s="43" t="s">
        <v>20</v>
      </c>
      <c r="O1108" s="43" t="s">
        <v>21</v>
      </c>
    </row>
    <row r="1109" spans="1:15" ht="14.25" customHeight="1">
      <c r="A1109" s="5">
        <v>39144</v>
      </c>
      <c r="B1109" s="18" t="s">
        <v>15</v>
      </c>
      <c r="C1109" s="34" t="s">
        <v>16</v>
      </c>
      <c r="D1109" s="7" t="s">
        <v>32</v>
      </c>
      <c r="E1109" s="69"/>
      <c r="G1109" s="7" t="s">
        <v>193</v>
      </c>
      <c r="H1109" s="95" t="s">
        <v>3198</v>
      </c>
      <c r="I1109" s="10"/>
      <c r="J1109" s="8">
        <v>75</v>
      </c>
      <c r="K1109" s="8"/>
      <c r="L1109" s="11"/>
      <c r="M1109" s="39" t="s">
        <v>102</v>
      </c>
      <c r="N1109" s="43" t="s">
        <v>194</v>
      </c>
      <c r="O1109" s="43" t="s">
        <v>195</v>
      </c>
    </row>
    <row r="1110" spans="1:15" ht="14.25" customHeight="1">
      <c r="A1110" s="5">
        <v>39138</v>
      </c>
      <c r="B1110" s="18" t="s">
        <v>15</v>
      </c>
      <c r="C1110" s="34" t="s">
        <v>16</v>
      </c>
      <c r="D1110" s="7" t="s">
        <v>187</v>
      </c>
      <c r="E1110" s="69"/>
      <c r="G1110" s="7" t="s">
        <v>192</v>
      </c>
      <c r="H1110" s="95" t="s">
        <v>3209</v>
      </c>
      <c r="I1110" s="10"/>
      <c r="J1110" s="8">
        <v>95</v>
      </c>
      <c r="K1110" s="8"/>
      <c r="L1110" s="11"/>
      <c r="M1110" s="39" t="s">
        <v>22</v>
      </c>
      <c r="N1110" s="43" t="s">
        <v>23</v>
      </c>
      <c r="O1110" s="43" t="s">
        <v>136</v>
      </c>
    </row>
    <row r="1111" spans="1:15" ht="40.5" customHeight="1">
      <c r="A1111" s="5">
        <v>39131</v>
      </c>
      <c r="B1111" s="18" t="s">
        <v>15</v>
      </c>
      <c r="C1111" s="34" t="s">
        <v>16</v>
      </c>
      <c r="D1111" s="7" t="s">
        <v>190</v>
      </c>
      <c r="E1111" s="69"/>
      <c r="G1111" s="7" t="s">
        <v>191</v>
      </c>
      <c r="H1111" s="95" t="s">
        <v>3208</v>
      </c>
      <c r="I1111" s="10"/>
      <c r="J1111" s="8">
        <v>25</v>
      </c>
      <c r="K1111" s="8"/>
      <c r="L1111" s="11"/>
      <c r="M1111" s="39" t="s">
        <v>22</v>
      </c>
      <c r="N1111" s="43" t="s">
        <v>23</v>
      </c>
      <c r="O1111" s="43" t="s">
        <v>136</v>
      </c>
    </row>
    <row r="1112" spans="1:15">
      <c r="A1112" s="5">
        <v>39124</v>
      </c>
      <c r="B1112" s="18" t="s">
        <v>15</v>
      </c>
      <c r="C1112" s="34" t="s">
        <v>16</v>
      </c>
      <c r="D1112" s="7" t="s">
        <v>110</v>
      </c>
      <c r="E1112" s="69"/>
      <c r="G1112" s="7" t="s">
        <v>144</v>
      </c>
      <c r="H1112" s="95" t="s">
        <v>3208</v>
      </c>
      <c r="I1112" s="10"/>
      <c r="J1112" s="8">
        <v>80</v>
      </c>
      <c r="K1112" s="8">
        <v>951</v>
      </c>
      <c r="L1112" s="11"/>
      <c r="M1112" s="39" t="s">
        <v>22</v>
      </c>
      <c r="N1112" s="43" t="s">
        <v>23</v>
      </c>
      <c r="O1112" s="43" t="s">
        <v>136</v>
      </c>
    </row>
    <row r="1113" spans="1:15" ht="27">
      <c r="A1113" s="5">
        <v>39117</v>
      </c>
      <c r="B1113" s="18" t="s">
        <v>15</v>
      </c>
      <c r="C1113" s="34" t="s">
        <v>16</v>
      </c>
      <c r="D1113" s="7" t="s">
        <v>172</v>
      </c>
      <c r="E1113" s="69"/>
      <c r="G1113" s="7" t="s">
        <v>189</v>
      </c>
      <c r="H1113" s="95" t="s">
        <v>3208</v>
      </c>
      <c r="I1113" s="10"/>
      <c r="J1113" s="8">
        <v>65</v>
      </c>
      <c r="K1113" s="8"/>
      <c r="L1113" s="11"/>
      <c r="M1113" s="39" t="s">
        <v>22</v>
      </c>
      <c r="N1113" s="43" t="s">
        <v>23</v>
      </c>
      <c r="O1113" s="43" t="s">
        <v>136</v>
      </c>
    </row>
    <row r="1114" spans="1:15" ht="14.25" customHeight="1">
      <c r="A1114" s="5">
        <v>39103</v>
      </c>
      <c r="B1114" s="18" t="s">
        <v>15</v>
      </c>
      <c r="C1114" s="34" t="s">
        <v>16</v>
      </c>
      <c r="D1114" s="7" t="s">
        <v>187</v>
      </c>
      <c r="E1114" s="69"/>
      <c r="G1114" s="7" t="s">
        <v>188</v>
      </c>
      <c r="H1114" s="95" t="s">
        <v>3209</v>
      </c>
      <c r="I1114" s="10"/>
      <c r="J1114" s="8">
        <v>95</v>
      </c>
      <c r="K1114" s="8"/>
      <c r="L1114" s="11"/>
      <c r="M1114" s="39" t="s">
        <v>22</v>
      </c>
      <c r="N1114" s="43" t="s">
        <v>23</v>
      </c>
      <c r="O1114" s="43" t="s">
        <v>136</v>
      </c>
    </row>
    <row r="1115" spans="1:15">
      <c r="A1115" s="5">
        <v>39096</v>
      </c>
      <c r="B1115" s="18" t="s">
        <v>15</v>
      </c>
      <c r="C1115" s="34" t="s">
        <v>16</v>
      </c>
      <c r="D1115" s="7" t="s">
        <v>184</v>
      </c>
      <c r="E1115" s="68" t="s">
        <v>185</v>
      </c>
      <c r="G1115" s="7" t="s">
        <v>186</v>
      </c>
      <c r="H1115" s="95" t="s">
        <v>3209</v>
      </c>
      <c r="I1115" s="10"/>
      <c r="J1115" s="8">
        <v>87</v>
      </c>
      <c r="K1115" s="8">
        <v>460</v>
      </c>
      <c r="L1115" s="54">
        <v>0.33333333333333331</v>
      </c>
      <c r="M1115" s="39" t="s">
        <v>22</v>
      </c>
      <c r="N1115" s="43" t="s">
        <v>23</v>
      </c>
      <c r="O1115" s="43" t="s">
        <v>24</v>
      </c>
    </row>
    <row r="1116" spans="1:15">
      <c r="A1116" s="5">
        <v>39090</v>
      </c>
      <c r="B1116" s="18" t="s">
        <v>15</v>
      </c>
      <c r="C1116" s="34" t="s">
        <v>16</v>
      </c>
      <c r="D1116" s="7" t="s">
        <v>182</v>
      </c>
      <c r="E1116" s="69"/>
      <c r="G1116" s="7" t="s">
        <v>183</v>
      </c>
      <c r="H1116" s="95" t="s">
        <v>3208</v>
      </c>
      <c r="I1116" s="10"/>
      <c r="J1116" s="8">
        <v>40</v>
      </c>
      <c r="K1116" s="8"/>
      <c r="L1116" s="11"/>
      <c r="M1116" s="39" t="s">
        <v>22</v>
      </c>
      <c r="N1116" s="43" t="s">
        <v>23</v>
      </c>
      <c r="O1116" s="43" t="s">
        <v>24</v>
      </c>
    </row>
    <row r="1117" spans="1:15" ht="27" customHeight="1">
      <c r="A1117" s="5">
        <v>39089</v>
      </c>
      <c r="B1117" s="18" t="s">
        <v>15</v>
      </c>
      <c r="C1117" s="34" t="s">
        <v>16</v>
      </c>
      <c r="D1117" s="7" t="s">
        <v>172</v>
      </c>
      <c r="E1117" s="69"/>
      <c r="G1117" s="7" t="s">
        <v>181</v>
      </c>
      <c r="H1117" s="95" t="s">
        <v>3208</v>
      </c>
      <c r="I1117" s="10"/>
      <c r="J1117" s="8">
        <v>70</v>
      </c>
      <c r="K1117" s="8"/>
      <c r="L1117" s="11"/>
      <c r="M1117" s="39" t="s">
        <v>22</v>
      </c>
      <c r="N1117" s="43" t="s">
        <v>23</v>
      </c>
      <c r="O1117" s="43" t="s">
        <v>136</v>
      </c>
    </row>
    <row r="1118" spans="1:15">
      <c r="A1118" s="5">
        <v>39087</v>
      </c>
      <c r="B1118" s="18" t="s">
        <v>15</v>
      </c>
      <c r="C1118" s="34" t="s">
        <v>16</v>
      </c>
      <c r="D1118" s="7" t="s">
        <v>17</v>
      </c>
      <c r="E1118" s="69"/>
      <c r="G1118" s="7" t="s">
        <v>18</v>
      </c>
      <c r="H1118" s="95" t="s">
        <v>3208</v>
      </c>
      <c r="I1118" s="10"/>
      <c r="J1118" s="8">
        <v>60</v>
      </c>
      <c r="K1118" s="8"/>
      <c r="L1118" s="11"/>
      <c r="M1118" s="39" t="s">
        <v>22</v>
      </c>
      <c r="N1118" s="43" t="s">
        <v>23</v>
      </c>
      <c r="O1118" s="43" t="s">
        <v>136</v>
      </c>
    </row>
    <row r="1119" spans="1:15" ht="27" customHeight="1">
      <c r="A1119" s="5">
        <v>39086</v>
      </c>
      <c r="B1119" s="18" t="s">
        <v>15</v>
      </c>
      <c r="C1119" s="34" t="s">
        <v>16</v>
      </c>
      <c r="D1119" s="7" t="s">
        <v>179</v>
      </c>
      <c r="E1119" s="69"/>
      <c r="G1119" s="7" t="s">
        <v>180</v>
      </c>
      <c r="H1119" s="73" t="s">
        <v>39</v>
      </c>
      <c r="I1119" s="10"/>
      <c r="J1119" s="8">
        <v>65</v>
      </c>
      <c r="K1119" s="8"/>
      <c r="L1119" s="11"/>
      <c r="M1119" s="39" t="s">
        <v>102</v>
      </c>
      <c r="N1119" s="43" t="s">
        <v>103</v>
      </c>
      <c r="O1119" s="43">
        <v>7300</v>
      </c>
    </row>
    <row r="1120" spans="1:15" ht="40.5" customHeight="1">
      <c r="A1120" s="5">
        <v>39085</v>
      </c>
      <c r="B1120" s="18" t="s">
        <v>15</v>
      </c>
      <c r="C1120" s="34" t="s">
        <v>16</v>
      </c>
      <c r="D1120" s="7" t="s">
        <v>178</v>
      </c>
      <c r="E1120" s="69"/>
      <c r="G1120" s="7" t="s">
        <v>178</v>
      </c>
      <c r="H1120" s="73" t="s">
        <v>39</v>
      </c>
      <c r="I1120" s="10"/>
      <c r="J1120" s="8">
        <v>35</v>
      </c>
      <c r="K1120" s="8"/>
      <c r="L1120" s="11"/>
      <c r="M1120" s="39" t="s">
        <v>102</v>
      </c>
      <c r="N1120" s="43" t="s">
        <v>103</v>
      </c>
      <c r="O1120" s="43">
        <v>7300</v>
      </c>
    </row>
    <row r="1121" spans="1:15">
      <c r="A1121" s="5">
        <v>39083</v>
      </c>
      <c r="B1121" s="18" t="s">
        <v>15</v>
      </c>
      <c r="C1121" s="34" t="s">
        <v>16</v>
      </c>
      <c r="D1121" s="7" t="s">
        <v>177</v>
      </c>
      <c r="E1121" s="69"/>
      <c r="G1121" s="7" t="s">
        <v>177</v>
      </c>
      <c r="H1121" s="73" t="s">
        <v>39</v>
      </c>
      <c r="I1121" s="10"/>
      <c r="J1121" s="8">
        <v>20</v>
      </c>
      <c r="K1121" s="8"/>
      <c r="L1121" s="11"/>
      <c r="M1121" s="39" t="s">
        <v>102</v>
      </c>
      <c r="N1121" s="43" t="s">
        <v>103</v>
      </c>
      <c r="O1121" s="43">
        <v>7300</v>
      </c>
    </row>
    <row r="1122" spans="1:15" ht="27" customHeight="1">
      <c r="A1122" s="5">
        <v>39082</v>
      </c>
      <c r="B1122" s="18" t="s">
        <v>15</v>
      </c>
      <c r="C1122" s="34" t="s">
        <v>16</v>
      </c>
      <c r="D1122" s="7" t="s">
        <v>175</v>
      </c>
      <c r="E1122" s="69"/>
      <c r="G1122" s="7" t="s">
        <v>176</v>
      </c>
      <c r="H1122" s="73" t="s">
        <v>39</v>
      </c>
      <c r="I1122" s="10"/>
      <c r="J1122" s="8">
        <v>70</v>
      </c>
      <c r="K1122" s="8"/>
      <c r="L1122" s="11"/>
      <c r="M1122" s="39" t="s">
        <v>102</v>
      </c>
      <c r="N1122" s="43" t="s">
        <v>103</v>
      </c>
      <c r="O1122" s="43">
        <v>7300</v>
      </c>
    </row>
    <row r="1123" spans="1:15">
      <c r="A1123" s="5">
        <v>39075</v>
      </c>
      <c r="B1123" s="18" t="s">
        <v>15</v>
      </c>
      <c r="C1123" s="34" t="s">
        <v>16</v>
      </c>
      <c r="D1123" s="7" t="s">
        <v>174</v>
      </c>
      <c r="E1123" s="69"/>
      <c r="G1123" s="7" t="s">
        <v>171</v>
      </c>
      <c r="H1123" s="95" t="s">
        <v>3209</v>
      </c>
      <c r="I1123" s="10"/>
      <c r="J1123" s="8">
        <v>88</v>
      </c>
      <c r="K1123" s="8"/>
      <c r="L1123" s="11"/>
      <c r="M1123" s="39" t="s">
        <v>22</v>
      </c>
      <c r="N1123" s="43" t="s">
        <v>23</v>
      </c>
      <c r="O1123" s="43" t="s">
        <v>136</v>
      </c>
    </row>
    <row r="1124" spans="1:15">
      <c r="A1124" s="5">
        <v>39074</v>
      </c>
      <c r="B1124" s="18" t="s">
        <v>15</v>
      </c>
      <c r="C1124" s="34" t="s">
        <v>16</v>
      </c>
      <c r="D1124" s="7" t="s">
        <v>17</v>
      </c>
      <c r="E1124" s="69"/>
      <c r="G1124" s="7" t="s">
        <v>18</v>
      </c>
      <c r="H1124" s="95" t="s">
        <v>3208</v>
      </c>
      <c r="I1124" s="10"/>
      <c r="J1124" s="8">
        <v>65</v>
      </c>
      <c r="K1124" s="8"/>
      <c r="L1124" s="11"/>
      <c r="M1124" s="39" t="s">
        <v>22</v>
      </c>
      <c r="N1124" s="43" t="s">
        <v>23</v>
      </c>
      <c r="O1124" s="43" t="s">
        <v>136</v>
      </c>
    </row>
    <row r="1125" spans="1:15" ht="27">
      <c r="A1125" s="5">
        <v>39061</v>
      </c>
      <c r="B1125" s="18" t="s">
        <v>15</v>
      </c>
      <c r="C1125" s="34" t="s">
        <v>16</v>
      </c>
      <c r="D1125" s="7" t="s">
        <v>172</v>
      </c>
      <c r="E1125" s="69"/>
      <c r="G1125" s="7" t="s">
        <v>173</v>
      </c>
      <c r="H1125" s="95" t="s">
        <v>3208</v>
      </c>
      <c r="I1125" s="10"/>
      <c r="J1125" s="8">
        <v>65</v>
      </c>
      <c r="K1125" s="8"/>
      <c r="L1125" s="11"/>
      <c r="M1125" s="39" t="s">
        <v>22</v>
      </c>
      <c r="N1125" s="43" t="s">
        <v>23</v>
      </c>
      <c r="O1125" s="43" t="s">
        <v>136</v>
      </c>
    </row>
    <row r="1126" spans="1:15">
      <c r="A1126" s="5">
        <v>39047</v>
      </c>
      <c r="B1126" s="18" t="s">
        <v>15</v>
      </c>
      <c r="C1126" s="34" t="s">
        <v>16</v>
      </c>
      <c r="D1126" s="7" t="s">
        <v>170</v>
      </c>
      <c r="E1126" s="69"/>
      <c r="G1126" s="7" t="s">
        <v>171</v>
      </c>
      <c r="H1126" s="95" t="s">
        <v>3209</v>
      </c>
      <c r="I1126" s="10"/>
      <c r="J1126" s="8">
        <v>75</v>
      </c>
      <c r="K1126" s="8"/>
      <c r="L1126" s="11"/>
      <c r="M1126" s="39" t="s">
        <v>22</v>
      </c>
      <c r="N1126" s="43" t="s">
        <v>23</v>
      </c>
      <c r="O1126" s="43" t="s">
        <v>136</v>
      </c>
    </row>
    <row r="1127" spans="1:15">
      <c r="A1127" s="5">
        <v>39040</v>
      </c>
      <c r="B1127" s="18" t="s">
        <v>15</v>
      </c>
      <c r="C1127" s="7" t="s">
        <v>131</v>
      </c>
      <c r="D1127" s="7" t="s">
        <v>168</v>
      </c>
      <c r="E1127" s="69"/>
      <c r="G1127" s="7" t="s">
        <v>169</v>
      </c>
      <c r="H1127" s="95" t="s">
        <v>3215</v>
      </c>
      <c r="I1127" s="10"/>
      <c r="J1127" s="8">
        <v>12</v>
      </c>
      <c r="K1127" s="8"/>
      <c r="L1127" s="11"/>
      <c r="M1127" s="39" t="s">
        <v>22</v>
      </c>
      <c r="N1127" s="43" t="s">
        <v>23</v>
      </c>
      <c r="O1127" s="43" t="s">
        <v>136</v>
      </c>
    </row>
    <row r="1128" spans="1:15" ht="27">
      <c r="A1128" s="5">
        <v>39033</v>
      </c>
      <c r="B1128" s="18" t="s">
        <v>15</v>
      </c>
      <c r="C1128" s="7" t="s">
        <v>131</v>
      </c>
      <c r="D1128" s="7" t="s">
        <v>166</v>
      </c>
      <c r="E1128" s="69"/>
      <c r="G1128" s="7" t="s">
        <v>167</v>
      </c>
      <c r="H1128" s="95" t="s">
        <v>3203</v>
      </c>
      <c r="I1128" s="10"/>
      <c r="J1128" s="8">
        <v>20</v>
      </c>
      <c r="K1128" s="8"/>
      <c r="L1128" s="11"/>
      <c r="M1128" s="39" t="s">
        <v>22</v>
      </c>
      <c r="N1128" s="43" t="s">
        <v>23</v>
      </c>
      <c r="O1128" s="43" t="s">
        <v>136</v>
      </c>
    </row>
    <row r="1129" spans="1:15">
      <c r="A1129" s="5">
        <v>39026</v>
      </c>
      <c r="B1129" s="18" t="s">
        <v>15</v>
      </c>
      <c r="C1129" s="34" t="s">
        <v>16</v>
      </c>
      <c r="D1129" s="7" t="s">
        <v>165</v>
      </c>
      <c r="E1129" s="69"/>
      <c r="G1129" s="7" t="s">
        <v>165</v>
      </c>
      <c r="H1129" s="95" t="s">
        <v>3208</v>
      </c>
      <c r="I1129" s="10"/>
      <c r="J1129" s="8">
        <v>50</v>
      </c>
      <c r="K1129" s="8"/>
      <c r="L1129" s="11"/>
      <c r="M1129" s="39" t="s">
        <v>22</v>
      </c>
      <c r="N1129" s="43" t="s">
        <v>23</v>
      </c>
      <c r="O1129" s="43" t="s">
        <v>136</v>
      </c>
    </row>
    <row r="1130" spans="1:15" ht="27" customHeight="1">
      <c r="A1130" s="5">
        <v>39025</v>
      </c>
      <c r="B1130" s="18" t="s">
        <v>15</v>
      </c>
      <c r="C1130" s="34" t="s">
        <v>16</v>
      </c>
      <c r="D1130" s="7" t="s">
        <v>163</v>
      </c>
      <c r="E1130" s="69"/>
      <c r="G1130" s="7" t="s">
        <v>164</v>
      </c>
      <c r="H1130" s="95" t="s">
        <v>3214</v>
      </c>
      <c r="I1130" s="10"/>
      <c r="J1130" s="8">
        <v>140</v>
      </c>
      <c r="K1130" s="8"/>
      <c r="L1130" s="11"/>
      <c r="M1130" s="39" t="s">
        <v>22</v>
      </c>
      <c r="N1130" s="43" t="s">
        <v>23</v>
      </c>
      <c r="O1130" s="43" t="s">
        <v>24</v>
      </c>
    </row>
    <row r="1131" spans="1:15" ht="27">
      <c r="A1131" s="5">
        <v>39024</v>
      </c>
      <c r="B1131" s="18" t="s">
        <v>15</v>
      </c>
      <c r="C1131" s="23" t="s">
        <v>16</v>
      </c>
      <c r="D1131" s="7" t="s">
        <v>161</v>
      </c>
      <c r="E1131" s="69"/>
      <c r="G1131" s="7" t="s">
        <v>162</v>
      </c>
      <c r="H1131" s="95" t="s">
        <v>3209</v>
      </c>
      <c r="I1131" s="10"/>
      <c r="J1131" s="8">
        <v>158</v>
      </c>
      <c r="K1131" s="8">
        <v>2449</v>
      </c>
      <c r="L1131" s="11"/>
      <c r="M1131" s="39" t="s">
        <v>22</v>
      </c>
      <c r="N1131" s="43" t="s">
        <v>23</v>
      </c>
      <c r="O1131" s="43" t="s">
        <v>136</v>
      </c>
    </row>
    <row r="1132" spans="1:15">
      <c r="A1132" s="5">
        <v>39019</v>
      </c>
      <c r="B1132" s="18" t="s">
        <v>15</v>
      </c>
      <c r="C1132" s="7" t="s">
        <v>131</v>
      </c>
      <c r="D1132" s="7" t="s">
        <v>159</v>
      </c>
      <c r="E1132" s="69"/>
      <c r="G1132" s="7" t="s">
        <v>160</v>
      </c>
      <c r="H1132" s="73" t="s">
        <v>31</v>
      </c>
      <c r="I1132" s="10"/>
      <c r="J1132" s="8">
        <v>68</v>
      </c>
      <c r="K1132" s="8"/>
      <c r="L1132" s="11"/>
      <c r="M1132" s="39" t="s">
        <v>22</v>
      </c>
      <c r="N1132" s="43" t="s">
        <v>23</v>
      </c>
      <c r="O1132" s="43" t="s">
        <v>24</v>
      </c>
    </row>
    <row r="1133" spans="1:15">
      <c r="A1133" s="5">
        <v>39012</v>
      </c>
      <c r="B1133" s="18" t="s">
        <v>15</v>
      </c>
      <c r="C1133" s="34" t="s">
        <v>16</v>
      </c>
      <c r="D1133" s="7" t="s">
        <v>157</v>
      </c>
      <c r="E1133" s="69"/>
      <c r="G1133" s="7" t="s">
        <v>158</v>
      </c>
      <c r="H1133" s="95" t="s">
        <v>3196</v>
      </c>
      <c r="I1133" s="10"/>
      <c r="J1133" s="8">
        <v>30</v>
      </c>
      <c r="K1133" s="8"/>
      <c r="L1133" s="11"/>
      <c r="M1133" s="39" t="s">
        <v>22</v>
      </c>
      <c r="N1133" s="43" t="s">
        <v>23</v>
      </c>
      <c r="O1133" s="43" t="s">
        <v>24</v>
      </c>
    </row>
    <row r="1134" spans="1:15" ht="27" customHeight="1">
      <c r="A1134" s="5">
        <v>39005</v>
      </c>
      <c r="B1134" s="18" t="s">
        <v>15</v>
      </c>
      <c r="C1134" s="34" t="s">
        <v>16</v>
      </c>
      <c r="D1134" s="7" t="s">
        <v>145</v>
      </c>
      <c r="E1134" s="69"/>
      <c r="G1134" s="7" t="s">
        <v>156</v>
      </c>
      <c r="H1134" s="95" t="s">
        <v>3209</v>
      </c>
      <c r="I1134" s="10"/>
      <c r="J1134" s="8">
        <v>86</v>
      </c>
      <c r="K1134" s="8"/>
      <c r="L1134" s="11"/>
      <c r="M1134" s="39" t="s">
        <v>22</v>
      </c>
      <c r="N1134" s="43" t="s">
        <v>23</v>
      </c>
      <c r="O1134" s="43" t="s">
        <v>136</v>
      </c>
    </row>
    <row r="1135" spans="1:15" ht="27" customHeight="1">
      <c r="A1135" s="5">
        <v>38999</v>
      </c>
      <c r="B1135" s="18" t="s">
        <v>15</v>
      </c>
      <c r="C1135" s="7" t="s">
        <v>151</v>
      </c>
      <c r="D1135" s="7" t="s">
        <v>155</v>
      </c>
      <c r="E1135" s="69"/>
      <c r="G1135" s="7" t="s">
        <v>153</v>
      </c>
      <c r="H1135" s="95" t="s">
        <v>3213</v>
      </c>
      <c r="I1135" s="10"/>
      <c r="J1135" s="8">
        <v>101</v>
      </c>
      <c r="K1135" s="8"/>
      <c r="L1135" s="11"/>
      <c r="M1135" s="39" t="s">
        <v>22</v>
      </c>
      <c r="N1135" s="43" t="s">
        <v>23</v>
      </c>
      <c r="O1135" s="43" t="s">
        <v>24</v>
      </c>
    </row>
    <row r="1136" spans="1:15" ht="27">
      <c r="A1136" s="5">
        <v>38998</v>
      </c>
      <c r="B1136" s="18" t="s">
        <v>15</v>
      </c>
      <c r="C1136" s="7" t="s">
        <v>151</v>
      </c>
      <c r="D1136" s="7" t="s">
        <v>154</v>
      </c>
      <c r="E1136" s="69"/>
      <c r="G1136" s="7" t="s">
        <v>153</v>
      </c>
      <c r="H1136" s="95" t="s">
        <v>3213</v>
      </c>
      <c r="I1136" s="10"/>
      <c r="J1136" s="8">
        <v>102</v>
      </c>
      <c r="K1136" s="8"/>
      <c r="L1136" s="11"/>
      <c r="M1136" s="39" t="s">
        <v>22</v>
      </c>
      <c r="N1136" s="43" t="s">
        <v>23</v>
      </c>
      <c r="O1136" s="43" t="s">
        <v>24</v>
      </c>
    </row>
    <row r="1137" spans="1:15" ht="54" customHeight="1">
      <c r="A1137" s="5">
        <v>38997</v>
      </c>
      <c r="B1137" s="18" t="s">
        <v>15</v>
      </c>
      <c r="C1137" s="7" t="s">
        <v>151</v>
      </c>
      <c r="D1137" s="7" t="s">
        <v>152</v>
      </c>
      <c r="E1137" s="69"/>
      <c r="G1137" s="7" t="s">
        <v>153</v>
      </c>
      <c r="H1137" s="95" t="s">
        <v>3213</v>
      </c>
      <c r="I1137" s="10"/>
      <c r="J1137" s="8">
        <v>107</v>
      </c>
      <c r="K1137" s="8"/>
      <c r="L1137" s="11"/>
      <c r="M1137" s="39" t="s">
        <v>22</v>
      </c>
      <c r="N1137" s="43" t="s">
        <v>23</v>
      </c>
      <c r="O1137" s="43" t="s">
        <v>24</v>
      </c>
    </row>
    <row r="1138" spans="1:15">
      <c r="A1138" s="5">
        <v>38991</v>
      </c>
      <c r="B1138" s="18" t="s">
        <v>15</v>
      </c>
      <c r="C1138" s="34" t="s">
        <v>16</v>
      </c>
      <c r="D1138" s="7" t="s">
        <v>32</v>
      </c>
      <c r="E1138" s="69"/>
      <c r="G1138" s="7" t="s">
        <v>150</v>
      </c>
      <c r="H1138" s="95" t="s">
        <v>3208</v>
      </c>
      <c r="I1138" s="10"/>
      <c r="J1138" s="8">
        <v>90</v>
      </c>
      <c r="K1138" s="8"/>
      <c r="L1138" s="11"/>
      <c r="M1138" s="39" t="s">
        <v>22</v>
      </c>
      <c r="N1138" s="43" t="s">
        <v>23</v>
      </c>
      <c r="O1138" s="43" t="s">
        <v>136</v>
      </c>
    </row>
    <row r="1139" spans="1:15" ht="54" customHeight="1">
      <c r="A1139" s="5">
        <v>38990</v>
      </c>
      <c r="B1139" s="18" t="s">
        <v>15</v>
      </c>
      <c r="C1139" s="23" t="s">
        <v>16</v>
      </c>
      <c r="D1139" s="7" t="s">
        <v>148</v>
      </c>
      <c r="E1139" s="69"/>
      <c r="G1139" s="7" t="s">
        <v>149</v>
      </c>
      <c r="H1139" s="95" t="s">
        <v>3352</v>
      </c>
      <c r="I1139" s="10"/>
      <c r="J1139" s="8">
        <v>140</v>
      </c>
      <c r="K1139" s="8">
        <v>1959</v>
      </c>
      <c r="L1139" s="11"/>
      <c r="M1139" s="39" t="s">
        <v>22</v>
      </c>
      <c r="N1139" s="43" t="s">
        <v>23</v>
      </c>
      <c r="O1139" s="43" t="s">
        <v>136</v>
      </c>
    </row>
    <row r="1140" spans="1:15">
      <c r="A1140" s="5">
        <v>38984</v>
      </c>
      <c r="B1140" s="18" t="s">
        <v>15</v>
      </c>
      <c r="C1140" s="34" t="s">
        <v>16</v>
      </c>
      <c r="D1140" s="7" t="s">
        <v>96</v>
      </c>
      <c r="E1140" s="69"/>
      <c r="G1140" s="7" t="s">
        <v>147</v>
      </c>
      <c r="H1140" s="95" t="s">
        <v>3209</v>
      </c>
      <c r="I1140" s="10"/>
      <c r="J1140" s="8">
        <v>96</v>
      </c>
      <c r="K1140" s="8"/>
      <c r="L1140" s="11"/>
      <c r="M1140" s="39" t="s">
        <v>22</v>
      </c>
      <c r="N1140" s="43" t="s">
        <v>23</v>
      </c>
      <c r="O1140" s="43" t="s">
        <v>136</v>
      </c>
    </row>
    <row r="1141" spans="1:15" ht="27" customHeight="1">
      <c r="A1141" s="5">
        <v>38977</v>
      </c>
      <c r="B1141" s="18" t="s">
        <v>15</v>
      </c>
      <c r="C1141" s="34" t="s">
        <v>16</v>
      </c>
      <c r="D1141" s="7" t="s">
        <v>145</v>
      </c>
      <c r="E1141" s="69"/>
      <c r="G1141" s="7" t="s">
        <v>146</v>
      </c>
      <c r="H1141" s="95" t="s">
        <v>3209</v>
      </c>
      <c r="I1141" s="10"/>
      <c r="J1141" s="8">
        <v>90</v>
      </c>
      <c r="K1141" s="8"/>
      <c r="L1141" s="11"/>
      <c r="M1141" s="39" t="s">
        <v>22</v>
      </c>
      <c r="N1141" s="43" t="s">
        <v>23</v>
      </c>
      <c r="O1141" s="43" t="s">
        <v>136</v>
      </c>
    </row>
    <row r="1142" spans="1:15" ht="54" customHeight="1">
      <c r="A1142" s="5">
        <v>38976</v>
      </c>
      <c r="B1142" s="18" t="s">
        <v>15</v>
      </c>
      <c r="C1142" s="34" t="s">
        <v>16</v>
      </c>
      <c r="D1142" s="7" t="s">
        <v>110</v>
      </c>
      <c r="E1142" s="69"/>
      <c r="G1142" s="7" t="s">
        <v>144</v>
      </c>
      <c r="H1142" s="95" t="s">
        <v>3208</v>
      </c>
      <c r="I1142" s="10"/>
      <c r="J1142" s="8">
        <v>90</v>
      </c>
      <c r="K1142" s="8">
        <v>800</v>
      </c>
      <c r="L1142" s="11"/>
      <c r="M1142" s="39" t="s">
        <v>22</v>
      </c>
      <c r="N1142" s="43" t="s">
        <v>23</v>
      </c>
      <c r="O1142" s="43" t="s">
        <v>136</v>
      </c>
    </row>
    <row r="1143" spans="1:15" ht="27" customHeight="1">
      <c r="A1143" s="5">
        <v>38963</v>
      </c>
      <c r="B1143" s="18" t="s">
        <v>15</v>
      </c>
      <c r="C1143" s="34" t="s">
        <v>16</v>
      </c>
      <c r="D1143" s="7" t="s">
        <v>142</v>
      </c>
      <c r="E1143" s="69"/>
      <c r="G1143" s="7" t="s">
        <v>143</v>
      </c>
      <c r="H1143" s="95" t="s">
        <v>3208</v>
      </c>
      <c r="I1143" s="10"/>
      <c r="J1143" s="8">
        <v>90</v>
      </c>
      <c r="K1143" s="8"/>
      <c r="L1143" s="11"/>
      <c r="M1143" s="39" t="s">
        <v>22</v>
      </c>
      <c r="N1143" s="43" t="s">
        <v>23</v>
      </c>
      <c r="O1143" s="43" t="s">
        <v>136</v>
      </c>
    </row>
    <row r="1144" spans="1:15">
      <c r="A1144" s="5">
        <v>38962</v>
      </c>
      <c r="B1144" s="18" t="s">
        <v>15</v>
      </c>
      <c r="C1144" s="34" t="s">
        <v>16</v>
      </c>
      <c r="D1144" s="7" t="s">
        <v>17</v>
      </c>
      <c r="E1144" s="69"/>
      <c r="G1144" s="7" t="s">
        <v>17</v>
      </c>
      <c r="H1144" s="95" t="s">
        <v>3208</v>
      </c>
      <c r="I1144" s="10"/>
      <c r="J1144" s="8">
        <v>60</v>
      </c>
      <c r="K1144" s="8"/>
      <c r="L1144" s="11"/>
      <c r="M1144" s="39" t="s">
        <v>22</v>
      </c>
      <c r="N1144" s="43" t="s">
        <v>23</v>
      </c>
      <c r="O1144" s="43" t="s">
        <v>136</v>
      </c>
    </row>
    <row r="1145" spans="1:15">
      <c r="A1145" s="5">
        <v>38949</v>
      </c>
      <c r="B1145" s="18" t="s">
        <v>15</v>
      </c>
      <c r="C1145" s="34" t="s">
        <v>16</v>
      </c>
      <c r="D1145" s="7" t="s">
        <v>142</v>
      </c>
      <c r="E1145" s="69"/>
      <c r="G1145" s="7" t="s">
        <v>143</v>
      </c>
      <c r="H1145" s="95" t="s">
        <v>3208</v>
      </c>
      <c r="I1145" s="10"/>
      <c r="J1145" s="8">
        <v>90</v>
      </c>
      <c r="K1145" s="8"/>
      <c r="L1145" s="11"/>
      <c r="M1145" s="39" t="s">
        <v>22</v>
      </c>
      <c r="N1145" s="43" t="s">
        <v>23</v>
      </c>
      <c r="O1145" s="43" t="s">
        <v>136</v>
      </c>
    </row>
    <row r="1146" spans="1:15">
      <c r="A1146" s="5">
        <v>38948</v>
      </c>
      <c r="B1146" s="18" t="s">
        <v>15</v>
      </c>
      <c r="C1146" s="34" t="s">
        <v>16</v>
      </c>
      <c r="D1146" s="7" t="s">
        <v>79</v>
      </c>
      <c r="E1146" s="69"/>
      <c r="G1146" s="7" t="s">
        <v>80</v>
      </c>
      <c r="H1146" s="95" t="s">
        <v>3208</v>
      </c>
      <c r="I1146" s="10" t="s">
        <v>141</v>
      </c>
      <c r="J1146" s="8"/>
      <c r="K1146" s="8"/>
      <c r="L1146" s="11"/>
      <c r="M1146" s="39" t="s">
        <v>19</v>
      </c>
      <c r="N1146" s="43" t="s">
        <v>20</v>
      </c>
      <c r="O1146" s="43" t="s">
        <v>21</v>
      </c>
    </row>
    <row r="1147" spans="1:15">
      <c r="A1147" s="5">
        <v>38942</v>
      </c>
      <c r="B1147" s="18" t="s">
        <v>15</v>
      </c>
      <c r="C1147" s="34" t="s">
        <v>16</v>
      </c>
      <c r="D1147" s="7" t="s">
        <v>139</v>
      </c>
      <c r="E1147" s="69"/>
      <c r="G1147" s="7" t="s">
        <v>140</v>
      </c>
      <c r="H1147" s="95" t="s">
        <v>3208</v>
      </c>
      <c r="I1147" s="10"/>
      <c r="J1147" s="8">
        <v>90</v>
      </c>
      <c r="K1147" s="8">
        <v>1070</v>
      </c>
      <c r="L1147" s="11"/>
      <c r="M1147" s="39" t="s">
        <v>22</v>
      </c>
      <c r="N1147" s="43" t="s">
        <v>23</v>
      </c>
      <c r="O1147" s="43" t="s">
        <v>24</v>
      </c>
    </row>
    <row r="1148" spans="1:15" ht="18.75">
      <c r="A1148" s="5">
        <v>38935</v>
      </c>
      <c r="B1148" s="18" t="s">
        <v>15</v>
      </c>
      <c r="C1148" s="34" t="s">
        <v>16</v>
      </c>
      <c r="D1148" s="7" t="s">
        <v>27</v>
      </c>
      <c r="E1148" s="69"/>
      <c r="G1148" s="7" t="s">
        <v>113</v>
      </c>
      <c r="H1148" s="95" t="s">
        <v>3208</v>
      </c>
      <c r="I1148" s="81" t="s">
        <v>29</v>
      </c>
      <c r="J1148" s="8">
        <v>100</v>
      </c>
      <c r="K1148" s="8"/>
      <c r="L1148" s="11"/>
      <c r="M1148" s="39" t="s">
        <v>22</v>
      </c>
      <c r="N1148" s="43" t="s">
        <v>23</v>
      </c>
      <c r="O1148" s="43" t="s">
        <v>24</v>
      </c>
    </row>
    <row r="1149" spans="1:15">
      <c r="A1149" s="5">
        <v>38928</v>
      </c>
      <c r="B1149" s="18" t="s">
        <v>15</v>
      </c>
      <c r="C1149" s="34" t="s">
        <v>16</v>
      </c>
      <c r="D1149" s="7" t="s">
        <v>137</v>
      </c>
      <c r="E1149" s="69"/>
      <c r="G1149" s="7" t="s">
        <v>96</v>
      </c>
      <c r="H1149" s="95" t="s">
        <v>3209</v>
      </c>
      <c r="I1149" s="10"/>
      <c r="J1149" s="8">
        <v>100</v>
      </c>
      <c r="K1149" s="8"/>
      <c r="L1149" s="11"/>
      <c r="M1149" s="39" t="s">
        <v>22</v>
      </c>
      <c r="N1149" s="43" t="s">
        <v>23</v>
      </c>
      <c r="O1149" s="43" t="s">
        <v>24</v>
      </c>
    </row>
    <row r="1150" spans="1:15" ht="54" customHeight="1">
      <c r="A1150" s="5">
        <v>38907</v>
      </c>
      <c r="B1150" s="18" t="s">
        <v>15</v>
      </c>
      <c r="C1150" s="34" t="s">
        <v>16</v>
      </c>
      <c r="D1150" s="7" t="s">
        <v>17</v>
      </c>
      <c r="E1150" s="69"/>
      <c r="G1150" s="7" t="s">
        <v>17</v>
      </c>
      <c r="H1150" s="95" t="s">
        <v>3208</v>
      </c>
      <c r="I1150" s="10"/>
      <c r="J1150" s="8">
        <v>40</v>
      </c>
      <c r="K1150" s="8"/>
      <c r="L1150" s="11"/>
      <c r="M1150" s="39" t="s">
        <v>22</v>
      </c>
      <c r="N1150" s="43" t="s">
        <v>23</v>
      </c>
      <c r="O1150" s="43" t="s">
        <v>136</v>
      </c>
    </row>
    <row r="1151" spans="1:15">
      <c r="A1151" s="5">
        <v>38893</v>
      </c>
      <c r="B1151" s="18" t="s">
        <v>15</v>
      </c>
      <c r="C1151" s="23" t="s">
        <v>16</v>
      </c>
      <c r="D1151" s="7" t="s">
        <v>134</v>
      </c>
      <c r="E1151" s="69"/>
      <c r="G1151" s="7" t="s">
        <v>135</v>
      </c>
      <c r="H1151" s="95" t="s">
        <v>3208</v>
      </c>
      <c r="I1151" s="10"/>
      <c r="J1151" s="8">
        <v>103</v>
      </c>
      <c r="K1151" s="8">
        <v>2111</v>
      </c>
      <c r="L1151" s="11"/>
      <c r="M1151" s="39" t="s">
        <v>22</v>
      </c>
      <c r="N1151" s="43" t="s">
        <v>23</v>
      </c>
      <c r="O1151" s="43" t="s">
        <v>24</v>
      </c>
    </row>
    <row r="1152" spans="1:15" ht="54" customHeight="1">
      <c r="A1152" s="5">
        <v>38879</v>
      </c>
      <c r="B1152" s="18" t="s">
        <v>15</v>
      </c>
      <c r="C1152" s="7" t="s">
        <v>131</v>
      </c>
      <c r="D1152" s="7" t="s">
        <v>132</v>
      </c>
      <c r="E1152" s="69"/>
      <c r="G1152" s="7" t="s">
        <v>133</v>
      </c>
      <c r="H1152" s="73" t="s">
        <v>3212</v>
      </c>
      <c r="I1152" s="10"/>
      <c r="J1152" s="8">
        <v>24</v>
      </c>
      <c r="K1152" s="8">
        <v>1255</v>
      </c>
      <c r="L1152" s="11">
        <v>7.4999999999999997E-2</v>
      </c>
      <c r="M1152" s="39" t="s">
        <v>22</v>
      </c>
      <c r="N1152" s="43" t="s">
        <v>23</v>
      </c>
      <c r="O1152" s="43" t="s">
        <v>24</v>
      </c>
    </row>
    <row r="1153" spans="1:15">
      <c r="A1153" s="5">
        <v>38842</v>
      </c>
      <c r="B1153" s="18" t="s">
        <v>15</v>
      </c>
      <c r="C1153" s="34" t="s">
        <v>16</v>
      </c>
      <c r="D1153" s="7" t="s">
        <v>129</v>
      </c>
      <c r="E1153" s="69"/>
      <c r="G1153" s="7" t="s">
        <v>130</v>
      </c>
      <c r="H1153" s="73" t="s">
        <v>39</v>
      </c>
      <c r="I1153" s="10"/>
      <c r="J1153" s="8">
        <v>90</v>
      </c>
      <c r="K1153" s="8"/>
      <c r="L1153" s="11"/>
      <c r="M1153" s="39" t="s">
        <v>22</v>
      </c>
      <c r="N1153" s="43" t="s">
        <v>23</v>
      </c>
      <c r="O1153" s="43" t="s">
        <v>24</v>
      </c>
    </row>
    <row r="1154" spans="1:15" ht="40.5" customHeight="1">
      <c r="A1154" s="5">
        <v>38840</v>
      </c>
      <c r="B1154" s="18" t="s">
        <v>15</v>
      </c>
      <c r="C1154" s="23" t="s">
        <v>16</v>
      </c>
      <c r="D1154" s="7" t="s">
        <v>127</v>
      </c>
      <c r="E1154" s="69"/>
      <c r="G1154" s="7" t="s">
        <v>128</v>
      </c>
      <c r="H1154" s="95" t="s">
        <v>3211</v>
      </c>
      <c r="I1154" s="10"/>
      <c r="J1154" s="8">
        <v>90</v>
      </c>
      <c r="K1154" s="8"/>
      <c r="L1154" s="11"/>
      <c r="M1154" s="39" t="s">
        <v>22</v>
      </c>
      <c r="N1154" s="43" t="s">
        <v>23</v>
      </c>
      <c r="O1154" s="43" t="s">
        <v>24</v>
      </c>
    </row>
    <row r="1155" spans="1:15" ht="54" customHeight="1">
      <c r="A1155" s="5">
        <v>38839</v>
      </c>
      <c r="B1155" s="18" t="s">
        <v>15</v>
      </c>
      <c r="C1155" s="23" t="s">
        <v>16</v>
      </c>
      <c r="D1155" s="7" t="s">
        <v>125</v>
      </c>
      <c r="E1155" s="69"/>
      <c r="G1155" s="7" t="s">
        <v>126</v>
      </c>
      <c r="H1155" s="95" t="s">
        <v>3210</v>
      </c>
      <c r="I1155" s="10"/>
      <c r="J1155" s="8">
        <v>150</v>
      </c>
      <c r="K1155" s="8"/>
      <c r="L1155" s="11"/>
      <c r="M1155" s="39" t="s">
        <v>22</v>
      </c>
      <c r="N1155" s="43" t="s">
        <v>23</v>
      </c>
      <c r="O1155" s="43" t="s">
        <v>24</v>
      </c>
    </row>
    <row r="1156" spans="1:15" ht="27" customHeight="1">
      <c r="A1156" s="5">
        <v>38837</v>
      </c>
      <c r="B1156" s="18" t="s">
        <v>15</v>
      </c>
      <c r="C1156" s="23" t="s">
        <v>16</v>
      </c>
      <c r="D1156" s="7" t="s">
        <v>123</v>
      </c>
      <c r="E1156" s="69"/>
      <c r="G1156" s="7" t="s">
        <v>124</v>
      </c>
      <c r="H1156" s="95" t="s">
        <v>3210</v>
      </c>
      <c r="I1156" s="10"/>
      <c r="J1156" s="8">
        <v>133</v>
      </c>
      <c r="K1156" s="8">
        <v>1777</v>
      </c>
      <c r="L1156" s="11"/>
      <c r="M1156" s="39" t="s">
        <v>22</v>
      </c>
      <c r="N1156" s="43" t="s">
        <v>23</v>
      </c>
      <c r="O1156" s="43" t="s">
        <v>24</v>
      </c>
    </row>
    <row r="1157" spans="1:15">
      <c r="A1157" s="5">
        <v>38823</v>
      </c>
      <c r="B1157" s="18" t="s">
        <v>15</v>
      </c>
      <c r="C1157" s="34" t="s">
        <v>16</v>
      </c>
      <c r="D1157" s="7" t="s">
        <v>121</v>
      </c>
      <c r="E1157" s="69"/>
      <c r="G1157" s="7" t="s">
        <v>122</v>
      </c>
      <c r="H1157" s="95" t="s">
        <v>3208</v>
      </c>
      <c r="I1157" s="13" t="s">
        <v>47</v>
      </c>
      <c r="J1157" s="8">
        <v>60</v>
      </c>
      <c r="K1157" s="8"/>
      <c r="L1157" s="11"/>
      <c r="M1157" s="39" t="s">
        <v>22</v>
      </c>
      <c r="N1157" s="43" t="s">
        <v>23</v>
      </c>
      <c r="O1157" s="43" t="s">
        <v>24</v>
      </c>
    </row>
    <row r="1158" spans="1:15" ht="27" customHeight="1">
      <c r="A1158" s="5">
        <v>38822</v>
      </c>
      <c r="B1158" s="18" t="s">
        <v>15</v>
      </c>
      <c r="C1158" s="34" t="s">
        <v>16</v>
      </c>
      <c r="D1158" s="7" t="s">
        <v>110</v>
      </c>
      <c r="E1158" s="69"/>
      <c r="G1158" s="7" t="s">
        <v>112</v>
      </c>
      <c r="H1158" s="95" t="s">
        <v>3208</v>
      </c>
      <c r="I1158" s="10"/>
      <c r="J1158" s="8">
        <v>65</v>
      </c>
      <c r="K1158" s="8">
        <v>800</v>
      </c>
      <c r="L1158" s="11"/>
      <c r="M1158" s="39" t="s">
        <v>22</v>
      </c>
      <c r="N1158" s="43" t="s">
        <v>23</v>
      </c>
      <c r="O1158" s="43" t="s">
        <v>24</v>
      </c>
    </row>
    <row r="1159" spans="1:15" ht="40.5" customHeight="1">
      <c r="A1159" s="5">
        <v>38816</v>
      </c>
      <c r="B1159" s="18" t="s">
        <v>15</v>
      </c>
      <c r="C1159" s="34" t="s">
        <v>16</v>
      </c>
      <c r="D1159" s="7" t="s">
        <v>121</v>
      </c>
      <c r="E1159" s="69"/>
      <c r="G1159" s="7" t="s">
        <v>122</v>
      </c>
      <c r="H1159" s="95" t="s">
        <v>3208</v>
      </c>
      <c r="I1159" s="13" t="s">
        <v>47</v>
      </c>
      <c r="J1159" s="8">
        <v>50</v>
      </c>
      <c r="K1159" s="8"/>
      <c r="L1159" s="11"/>
      <c r="M1159" s="39" t="s">
        <v>19</v>
      </c>
      <c r="N1159" s="43" t="s">
        <v>20</v>
      </c>
      <c r="O1159" s="43" t="s">
        <v>21</v>
      </c>
    </row>
    <row r="1160" spans="1:15" ht="27" customHeight="1">
      <c r="A1160" s="5">
        <v>38809</v>
      </c>
      <c r="B1160" s="18" t="s">
        <v>15</v>
      </c>
      <c r="C1160" s="34" t="s">
        <v>16</v>
      </c>
      <c r="D1160" s="7" t="s">
        <v>119</v>
      </c>
      <c r="E1160" s="69"/>
      <c r="G1160" s="7" t="s">
        <v>120</v>
      </c>
      <c r="H1160" s="95" t="s">
        <v>3208</v>
      </c>
      <c r="I1160" s="24" t="s">
        <v>40</v>
      </c>
      <c r="J1160" s="8"/>
      <c r="K1160" s="8"/>
      <c r="L1160" s="11"/>
      <c r="M1160" s="39" t="s">
        <v>19</v>
      </c>
      <c r="N1160" s="43" t="s">
        <v>20</v>
      </c>
      <c r="O1160" s="43" t="s">
        <v>21</v>
      </c>
    </row>
    <row r="1161" spans="1:15" ht="27" customHeight="1">
      <c r="A1161" s="5">
        <v>38808</v>
      </c>
      <c r="B1161" s="18" t="s">
        <v>15</v>
      </c>
      <c r="C1161" s="34" t="s">
        <v>16</v>
      </c>
      <c r="D1161" s="7" t="s">
        <v>114</v>
      </c>
      <c r="E1161" s="69"/>
      <c r="G1161" s="7" t="s">
        <v>115</v>
      </c>
      <c r="H1161" s="95" t="s">
        <v>3204</v>
      </c>
      <c r="I1161" s="10"/>
      <c r="J1161" s="8">
        <v>114</v>
      </c>
      <c r="K1161" s="8">
        <v>2275</v>
      </c>
      <c r="L1161" s="11"/>
      <c r="M1161" s="39" t="s">
        <v>22</v>
      </c>
      <c r="N1161" s="43" t="s">
        <v>23</v>
      </c>
      <c r="O1161" s="43" t="s">
        <v>24</v>
      </c>
    </row>
    <row r="1162" spans="1:15" ht="27" customHeight="1">
      <c r="A1162" s="5">
        <v>38802</v>
      </c>
      <c r="B1162" s="18" t="s">
        <v>15</v>
      </c>
      <c r="C1162" s="34" t="s">
        <v>16</v>
      </c>
      <c r="D1162" s="7" t="s">
        <v>117</v>
      </c>
      <c r="E1162" s="69"/>
      <c r="G1162" s="7" t="s">
        <v>118</v>
      </c>
      <c r="H1162" s="95" t="s">
        <v>3208</v>
      </c>
      <c r="I1162" s="24" t="s">
        <v>40</v>
      </c>
      <c r="J1162" s="8"/>
      <c r="K1162" s="8"/>
      <c r="L1162" s="11"/>
      <c r="M1162" s="39" t="s">
        <v>19</v>
      </c>
      <c r="N1162" s="43" t="s">
        <v>20</v>
      </c>
      <c r="O1162" s="43" t="s">
        <v>21</v>
      </c>
    </row>
    <row r="1163" spans="1:15" ht="27">
      <c r="A1163" s="5">
        <v>38801</v>
      </c>
      <c r="B1163" s="18" t="s">
        <v>15</v>
      </c>
      <c r="C1163" s="34" t="s">
        <v>16</v>
      </c>
      <c r="D1163" s="7" t="s">
        <v>114</v>
      </c>
      <c r="E1163" s="69"/>
      <c r="G1163" s="7" t="s">
        <v>116</v>
      </c>
      <c r="H1163" s="95" t="s">
        <v>3204</v>
      </c>
      <c r="I1163" s="10"/>
      <c r="J1163" s="8">
        <v>111</v>
      </c>
      <c r="K1163" s="8">
        <v>2522</v>
      </c>
      <c r="L1163" s="11"/>
      <c r="M1163" s="39" t="s">
        <v>22</v>
      </c>
      <c r="N1163" s="43" t="s">
        <v>23</v>
      </c>
      <c r="O1163" s="43" t="s">
        <v>24</v>
      </c>
    </row>
    <row r="1164" spans="1:15" ht="27">
      <c r="A1164" s="5">
        <v>38794</v>
      </c>
      <c r="B1164" s="18" t="s">
        <v>15</v>
      </c>
      <c r="C1164" s="34" t="s">
        <v>16</v>
      </c>
      <c r="D1164" s="7" t="s">
        <v>114</v>
      </c>
      <c r="E1164" s="69"/>
      <c r="G1164" s="7" t="s">
        <v>115</v>
      </c>
      <c r="H1164" s="95" t="s">
        <v>3208</v>
      </c>
      <c r="I1164" s="10"/>
      <c r="J1164" s="8">
        <v>102</v>
      </c>
      <c r="K1164" s="8">
        <v>2400</v>
      </c>
      <c r="L1164" s="11"/>
      <c r="M1164" s="39" t="s">
        <v>22</v>
      </c>
      <c r="N1164" s="43" t="s">
        <v>23</v>
      </c>
      <c r="O1164" s="43" t="s">
        <v>24</v>
      </c>
    </row>
    <row r="1165" spans="1:15" ht="27" customHeight="1">
      <c r="A1165" s="5">
        <v>38788</v>
      </c>
      <c r="B1165" s="18" t="s">
        <v>15</v>
      </c>
      <c r="C1165" s="34" t="s">
        <v>16</v>
      </c>
      <c r="D1165" s="7" t="s">
        <v>27</v>
      </c>
      <c r="E1165" s="69"/>
      <c r="G1165" s="7" t="s">
        <v>113</v>
      </c>
      <c r="H1165" s="95" t="s">
        <v>3208</v>
      </c>
      <c r="I1165" s="81" t="s">
        <v>29</v>
      </c>
      <c r="J1165" s="8">
        <v>107</v>
      </c>
      <c r="K1165" s="8"/>
      <c r="L1165" s="11"/>
      <c r="M1165" s="39" t="s">
        <v>22</v>
      </c>
      <c r="N1165" s="43" t="s">
        <v>23</v>
      </c>
      <c r="O1165" s="43" t="s">
        <v>24</v>
      </c>
    </row>
    <row r="1166" spans="1:15">
      <c r="A1166" s="5">
        <v>38787</v>
      </c>
      <c r="B1166" s="18" t="s">
        <v>15</v>
      </c>
      <c r="C1166" s="34" t="s">
        <v>16</v>
      </c>
      <c r="D1166" s="7" t="s">
        <v>110</v>
      </c>
      <c r="E1166" s="69"/>
      <c r="G1166" s="7" t="s">
        <v>112</v>
      </c>
      <c r="H1166" s="95" t="s">
        <v>3208</v>
      </c>
      <c r="I1166" s="10"/>
      <c r="J1166" s="8">
        <v>65</v>
      </c>
      <c r="K1166" s="8">
        <v>800</v>
      </c>
      <c r="L1166" s="11"/>
      <c r="M1166" s="39" t="s">
        <v>22</v>
      </c>
      <c r="N1166" s="43" t="s">
        <v>23</v>
      </c>
      <c r="O1166" s="43" t="s">
        <v>24</v>
      </c>
    </row>
    <row r="1167" spans="1:15">
      <c r="A1167" s="5">
        <v>38781</v>
      </c>
      <c r="B1167" s="18" t="s">
        <v>15</v>
      </c>
      <c r="C1167" s="34" t="s">
        <v>16</v>
      </c>
      <c r="D1167" s="7" t="s">
        <v>110</v>
      </c>
      <c r="E1167" s="69"/>
      <c r="G1167" s="7" t="s">
        <v>112</v>
      </c>
      <c r="H1167" s="95" t="s">
        <v>3208</v>
      </c>
      <c r="I1167" s="10"/>
      <c r="J1167" s="8">
        <v>65</v>
      </c>
      <c r="K1167" s="8">
        <v>800</v>
      </c>
      <c r="L1167" s="11"/>
      <c r="M1167" s="39" t="s">
        <v>22</v>
      </c>
      <c r="N1167" s="43" t="s">
        <v>23</v>
      </c>
      <c r="O1167" s="43" t="s">
        <v>24</v>
      </c>
    </row>
    <row r="1168" spans="1:15" ht="27" customHeight="1">
      <c r="A1168" s="5">
        <v>38759</v>
      </c>
      <c r="B1168" s="18" t="s">
        <v>15</v>
      </c>
      <c r="C1168" s="34" t="s">
        <v>16</v>
      </c>
      <c r="D1168" s="7" t="s">
        <v>110</v>
      </c>
      <c r="E1168" s="69"/>
      <c r="G1168" s="7" t="s">
        <v>111</v>
      </c>
      <c r="H1168" s="95" t="s">
        <v>3208</v>
      </c>
      <c r="I1168" s="10"/>
      <c r="J1168" s="8">
        <v>130</v>
      </c>
      <c r="K1168" s="8">
        <v>1957</v>
      </c>
      <c r="L1168" s="11"/>
      <c r="M1168" s="39" t="s">
        <v>22</v>
      </c>
      <c r="N1168" s="43" t="s">
        <v>23</v>
      </c>
      <c r="O1168" s="43" t="s">
        <v>24</v>
      </c>
    </row>
    <row r="1169" spans="1:15" ht="27" customHeight="1">
      <c r="A1169" s="5">
        <v>38745</v>
      </c>
      <c r="B1169" s="18" t="s">
        <v>15</v>
      </c>
      <c r="C1169" s="34" t="s">
        <v>16</v>
      </c>
      <c r="D1169" s="7" t="s">
        <v>108</v>
      </c>
      <c r="E1169" s="69"/>
      <c r="G1169" s="7" t="s">
        <v>109</v>
      </c>
      <c r="H1169" s="95" t="s">
        <v>3204</v>
      </c>
      <c r="I1169" s="10"/>
      <c r="J1169" s="8">
        <v>128</v>
      </c>
      <c r="K1169" s="8"/>
      <c r="L1169" s="11"/>
      <c r="M1169" s="39" t="s">
        <v>22</v>
      </c>
      <c r="N1169" s="43" t="s">
        <v>23</v>
      </c>
      <c r="O1169" s="43" t="s">
        <v>24</v>
      </c>
    </row>
    <row r="1170" spans="1:15">
      <c r="A1170" s="5">
        <v>38732</v>
      </c>
      <c r="B1170" s="18" t="s">
        <v>15</v>
      </c>
      <c r="C1170" s="34" t="s">
        <v>16</v>
      </c>
      <c r="D1170" s="7" t="s">
        <v>106</v>
      </c>
      <c r="E1170" s="69"/>
      <c r="G1170" s="7" t="s">
        <v>107</v>
      </c>
      <c r="H1170" s="73" t="s">
        <v>3209</v>
      </c>
      <c r="I1170" s="10"/>
      <c r="J1170" s="8">
        <v>144</v>
      </c>
      <c r="K1170" s="8"/>
      <c r="L1170" s="11"/>
      <c r="M1170" s="39" t="s">
        <v>22</v>
      </c>
      <c r="N1170" s="43" t="s">
        <v>23</v>
      </c>
      <c r="O1170" s="43" t="s">
        <v>24</v>
      </c>
    </row>
    <row r="1171" spans="1:15">
      <c r="A1171" s="5">
        <v>38726</v>
      </c>
      <c r="B1171" s="18" t="s">
        <v>15</v>
      </c>
      <c r="C1171" s="34" t="s">
        <v>16</v>
      </c>
      <c r="D1171" s="7" t="s">
        <v>104</v>
      </c>
      <c r="E1171" s="69"/>
      <c r="G1171" s="7" t="s">
        <v>105</v>
      </c>
      <c r="H1171" s="95" t="s">
        <v>3208</v>
      </c>
      <c r="I1171" s="10"/>
      <c r="J1171" s="8">
        <v>85</v>
      </c>
      <c r="K1171" s="8"/>
      <c r="L1171" s="11"/>
      <c r="M1171" s="39" t="s">
        <v>22</v>
      </c>
      <c r="N1171" s="43" t="s">
        <v>23</v>
      </c>
      <c r="O1171" s="43" t="s">
        <v>24</v>
      </c>
    </row>
    <row r="1172" spans="1:15" ht="27" customHeight="1">
      <c r="A1172" s="5">
        <v>38721</v>
      </c>
      <c r="B1172" s="18" t="s">
        <v>15</v>
      </c>
      <c r="C1172" s="34" t="s">
        <v>16</v>
      </c>
      <c r="D1172" s="7" t="s">
        <v>17</v>
      </c>
      <c r="E1172" s="69"/>
      <c r="G1172" s="7" t="s">
        <v>18</v>
      </c>
      <c r="H1172" s="95" t="s">
        <v>3208</v>
      </c>
      <c r="I1172" s="10"/>
      <c r="J1172" s="8">
        <v>70</v>
      </c>
      <c r="K1172" s="8"/>
      <c r="L1172" s="11"/>
      <c r="M1172" s="39" t="s">
        <v>22</v>
      </c>
      <c r="N1172" s="43" t="s">
        <v>23</v>
      </c>
      <c r="O1172" s="43" t="s">
        <v>24</v>
      </c>
    </row>
    <row r="1173" spans="1:15">
      <c r="A1173" s="5">
        <v>38719</v>
      </c>
      <c r="B1173" s="18" t="s">
        <v>15</v>
      </c>
      <c r="C1173" s="34" t="s">
        <v>16</v>
      </c>
      <c r="D1173" s="7" t="s">
        <v>100</v>
      </c>
      <c r="E1173" s="69"/>
      <c r="G1173" s="7" t="s">
        <v>101</v>
      </c>
      <c r="H1173" s="73" t="s">
        <v>39</v>
      </c>
      <c r="I1173" s="10"/>
      <c r="J1173" s="8">
        <v>60</v>
      </c>
      <c r="K1173" s="8"/>
      <c r="L1173" s="11"/>
      <c r="M1173" s="39" t="s">
        <v>102</v>
      </c>
      <c r="N1173" s="43" t="s">
        <v>103</v>
      </c>
      <c r="O1173" s="43">
        <v>7300</v>
      </c>
    </row>
    <row r="1174" spans="1:15" ht="14.25" customHeight="1">
      <c r="A1174" s="5">
        <v>38683</v>
      </c>
      <c r="B1174" s="18" t="s">
        <v>15</v>
      </c>
      <c r="C1174" s="23" t="s">
        <v>16</v>
      </c>
      <c r="D1174" s="7" t="s">
        <v>27</v>
      </c>
      <c r="E1174" s="69"/>
      <c r="G1174" s="7" t="s">
        <v>99</v>
      </c>
      <c r="H1174" s="95" t="s">
        <v>3208</v>
      </c>
      <c r="I1174" s="81" t="s">
        <v>29</v>
      </c>
      <c r="J1174" s="8">
        <v>150</v>
      </c>
      <c r="K1174" s="8">
        <v>1245</v>
      </c>
      <c r="L1174" s="11"/>
      <c r="M1174" s="39" t="s">
        <v>22</v>
      </c>
      <c r="N1174" s="43" t="s">
        <v>23</v>
      </c>
      <c r="O1174" s="43" t="s">
        <v>24</v>
      </c>
    </row>
    <row r="1175" spans="1:15" ht="18.75">
      <c r="A1175" s="5">
        <v>38676</v>
      </c>
      <c r="B1175" s="18" t="s">
        <v>15</v>
      </c>
      <c r="C1175" s="34" t="s">
        <v>16</v>
      </c>
      <c r="D1175" s="7" t="s">
        <v>27</v>
      </c>
      <c r="E1175" s="69"/>
      <c r="G1175" s="7" t="s">
        <v>28</v>
      </c>
      <c r="H1175" s="95" t="s">
        <v>3208</v>
      </c>
      <c r="I1175" s="81" t="s">
        <v>29</v>
      </c>
      <c r="J1175" s="8">
        <v>150</v>
      </c>
      <c r="K1175" s="8">
        <v>1245</v>
      </c>
      <c r="L1175" s="11"/>
      <c r="M1175" s="39" t="s">
        <v>22</v>
      </c>
      <c r="N1175" s="43" t="s">
        <v>23</v>
      </c>
      <c r="O1175" s="43" t="s">
        <v>24</v>
      </c>
    </row>
    <row r="1176" spans="1:15">
      <c r="A1176" s="5">
        <v>38669</v>
      </c>
      <c r="B1176" s="18" t="s">
        <v>15</v>
      </c>
      <c r="C1176" s="34" t="s">
        <v>16</v>
      </c>
      <c r="D1176" s="7" t="s">
        <v>17</v>
      </c>
      <c r="E1176" s="69"/>
      <c r="G1176" s="7" t="s">
        <v>18</v>
      </c>
      <c r="H1176" s="95" t="s">
        <v>3208</v>
      </c>
      <c r="I1176" s="10"/>
      <c r="J1176" s="8">
        <v>70</v>
      </c>
      <c r="K1176" s="8"/>
      <c r="L1176" s="11"/>
      <c r="M1176" s="39" t="s">
        <v>22</v>
      </c>
      <c r="N1176" s="43" t="s">
        <v>23</v>
      </c>
      <c r="O1176" s="43" t="s">
        <v>24</v>
      </c>
    </row>
    <row r="1177" spans="1:15" ht="14.25" customHeight="1">
      <c r="A1177" s="5">
        <v>38662</v>
      </c>
      <c r="B1177" s="18" t="s">
        <v>15</v>
      </c>
      <c r="C1177" s="34" t="s">
        <v>16</v>
      </c>
      <c r="D1177" s="7" t="s">
        <v>17</v>
      </c>
      <c r="E1177" s="69"/>
      <c r="G1177" s="7" t="s">
        <v>98</v>
      </c>
      <c r="H1177" s="95" t="s">
        <v>3208</v>
      </c>
      <c r="I1177" s="10"/>
      <c r="J1177" s="8">
        <v>80</v>
      </c>
      <c r="K1177" s="8"/>
      <c r="L1177" s="11"/>
      <c r="M1177" s="39" t="s">
        <v>22</v>
      </c>
      <c r="N1177" s="43" t="s">
        <v>23</v>
      </c>
      <c r="O1177" s="43" t="s">
        <v>24</v>
      </c>
    </row>
    <row r="1178" spans="1:15" ht="54" customHeight="1">
      <c r="A1178" s="5">
        <v>38659</v>
      </c>
      <c r="B1178" s="18" t="s">
        <v>15</v>
      </c>
      <c r="C1178" s="34" t="s">
        <v>16</v>
      </c>
      <c r="D1178" s="7" t="s">
        <v>96</v>
      </c>
      <c r="E1178" s="69"/>
      <c r="G1178" s="7" t="s">
        <v>97</v>
      </c>
      <c r="H1178" s="73" t="s">
        <v>34</v>
      </c>
      <c r="I1178" s="10"/>
      <c r="J1178" s="8">
        <v>140</v>
      </c>
      <c r="K1178" s="8"/>
      <c r="L1178" s="11"/>
      <c r="M1178" s="39" t="s">
        <v>22</v>
      </c>
      <c r="N1178" s="43" t="s">
        <v>23</v>
      </c>
      <c r="O1178" s="43" t="s">
        <v>24</v>
      </c>
    </row>
    <row r="1179" spans="1:15" ht="27">
      <c r="A1179" s="5">
        <v>38648</v>
      </c>
      <c r="B1179" s="18" t="s">
        <v>15</v>
      </c>
      <c r="C1179" s="23" t="s">
        <v>16</v>
      </c>
      <c r="D1179" s="7" t="s">
        <v>94</v>
      </c>
      <c r="E1179" s="69"/>
      <c r="G1179" s="7" t="s">
        <v>95</v>
      </c>
      <c r="H1179" s="95" t="s">
        <v>3356</v>
      </c>
      <c r="I1179" s="10"/>
      <c r="J1179" s="8">
        <v>181</v>
      </c>
      <c r="K1179" s="8"/>
      <c r="L1179" s="11"/>
      <c r="M1179" s="39" t="s">
        <v>22</v>
      </c>
      <c r="N1179" s="43" t="s">
        <v>23</v>
      </c>
      <c r="O1179" s="43" t="s">
        <v>24</v>
      </c>
    </row>
    <row r="1180" spans="1:15" ht="27">
      <c r="A1180" s="5">
        <v>38634</v>
      </c>
      <c r="B1180" s="18" t="s">
        <v>15</v>
      </c>
      <c r="C1180" s="23" t="s">
        <v>16</v>
      </c>
      <c r="D1180" s="7" t="s">
        <v>92</v>
      </c>
      <c r="E1180" s="69"/>
      <c r="G1180" s="7" t="s">
        <v>93</v>
      </c>
      <c r="H1180" s="95" t="s">
        <v>3202</v>
      </c>
      <c r="I1180" s="10"/>
      <c r="J1180" s="8">
        <v>72</v>
      </c>
      <c r="K1180" s="8">
        <v>1289</v>
      </c>
      <c r="L1180" s="11"/>
      <c r="M1180" s="39" t="s">
        <v>22</v>
      </c>
      <c r="N1180" s="43" t="s">
        <v>23</v>
      </c>
      <c r="O1180" s="43" t="s">
        <v>24</v>
      </c>
    </row>
    <row r="1181" spans="1:15" ht="27" customHeight="1">
      <c r="A1181" s="5">
        <v>38627</v>
      </c>
      <c r="B1181" s="18" t="s">
        <v>15</v>
      </c>
      <c r="C1181" s="34" t="s">
        <v>16</v>
      </c>
      <c r="D1181" s="7" t="s">
        <v>90</v>
      </c>
      <c r="E1181" s="69"/>
      <c r="G1181" s="7" t="s">
        <v>91</v>
      </c>
      <c r="H1181" s="95" t="s">
        <v>3208</v>
      </c>
      <c r="I1181" s="10"/>
      <c r="J1181" s="8"/>
      <c r="K1181" s="8"/>
      <c r="L1181" s="11"/>
      <c r="M1181" s="39" t="s">
        <v>22</v>
      </c>
      <c r="N1181" s="43" t="s">
        <v>23</v>
      </c>
      <c r="O1181" s="43" t="s">
        <v>24</v>
      </c>
    </row>
    <row r="1182" spans="1:15" ht="40.5" customHeight="1">
      <c r="A1182" s="5">
        <v>38618</v>
      </c>
      <c r="B1182" s="18" t="s">
        <v>15</v>
      </c>
      <c r="C1182" s="23" t="s">
        <v>16</v>
      </c>
      <c r="D1182" s="7" t="s">
        <v>87</v>
      </c>
      <c r="E1182" s="69"/>
      <c r="G1182" s="7" t="s">
        <v>88</v>
      </c>
      <c r="H1182" s="95" t="s">
        <v>3207</v>
      </c>
      <c r="I1182" s="82" t="s">
        <v>89</v>
      </c>
      <c r="J1182" s="8">
        <v>120</v>
      </c>
      <c r="K1182" s="8"/>
      <c r="L1182" s="11"/>
      <c r="M1182" s="39" t="s">
        <v>22</v>
      </c>
      <c r="N1182" s="43" t="s">
        <v>23</v>
      </c>
      <c r="O1182" s="43" t="s">
        <v>24</v>
      </c>
    </row>
    <row r="1183" spans="1:15" ht="27">
      <c r="A1183" s="5">
        <v>38613</v>
      </c>
      <c r="B1183" s="18" t="s">
        <v>15</v>
      </c>
      <c r="C1183" s="23" t="s">
        <v>16</v>
      </c>
      <c r="D1183" s="7" t="s">
        <v>85</v>
      </c>
      <c r="E1183" s="69"/>
      <c r="G1183" s="7" t="s">
        <v>86</v>
      </c>
      <c r="H1183" s="95" t="s">
        <v>3348</v>
      </c>
      <c r="I1183" s="10"/>
      <c r="J1183" s="8">
        <v>169</v>
      </c>
      <c r="K1183" s="8">
        <v>1310</v>
      </c>
      <c r="L1183" s="11"/>
      <c r="M1183" s="39" t="s">
        <v>22</v>
      </c>
      <c r="N1183" s="43" t="s">
        <v>23</v>
      </c>
      <c r="O1183" s="43" t="s">
        <v>24</v>
      </c>
    </row>
    <row r="1184" spans="1:15" ht="27">
      <c r="A1184" s="5">
        <v>38599</v>
      </c>
      <c r="B1184" s="18" t="s">
        <v>15</v>
      </c>
      <c r="C1184" s="23" t="s">
        <v>16</v>
      </c>
      <c r="D1184" s="7" t="s">
        <v>83</v>
      </c>
      <c r="E1184" s="69"/>
      <c r="G1184" s="7" t="s">
        <v>84</v>
      </c>
      <c r="H1184" s="95" t="s">
        <v>3357</v>
      </c>
      <c r="I1184" s="10"/>
      <c r="J1184" s="8">
        <v>150</v>
      </c>
      <c r="K1184" s="8">
        <v>1604</v>
      </c>
      <c r="L1184" s="11"/>
      <c r="M1184" s="39" t="s">
        <v>22</v>
      </c>
      <c r="N1184" s="43" t="s">
        <v>23</v>
      </c>
      <c r="O1184" s="43" t="s">
        <v>24</v>
      </c>
    </row>
    <row r="1185" spans="1:15" ht="27">
      <c r="A1185" s="5">
        <v>38592</v>
      </c>
      <c r="B1185" s="18" t="s">
        <v>15</v>
      </c>
      <c r="C1185" s="34" t="s">
        <v>16</v>
      </c>
      <c r="D1185" s="7" t="s">
        <v>81</v>
      </c>
      <c r="E1185" s="69"/>
      <c r="G1185" s="7" t="s">
        <v>82</v>
      </c>
      <c r="H1185" s="95" t="s">
        <v>3198</v>
      </c>
      <c r="I1185" s="10"/>
      <c r="J1185" s="8">
        <v>45</v>
      </c>
      <c r="K1185" s="8"/>
      <c r="L1185" s="11"/>
      <c r="M1185" s="39" t="s">
        <v>22</v>
      </c>
      <c r="N1185" s="43" t="s">
        <v>23</v>
      </c>
      <c r="O1185" s="43" t="s">
        <v>24</v>
      </c>
    </row>
    <row r="1186" spans="1:15">
      <c r="A1186" s="5">
        <v>38585</v>
      </c>
      <c r="B1186" s="18" t="s">
        <v>15</v>
      </c>
      <c r="C1186" s="34" t="s">
        <v>16</v>
      </c>
      <c r="D1186" s="7" t="s">
        <v>79</v>
      </c>
      <c r="E1186" s="69"/>
      <c r="G1186" s="7" t="s">
        <v>80</v>
      </c>
      <c r="H1186" s="73" t="s">
        <v>46</v>
      </c>
      <c r="I1186" s="10"/>
      <c r="J1186" s="8">
        <v>30</v>
      </c>
      <c r="K1186" s="8"/>
      <c r="L1186" s="11"/>
      <c r="M1186" s="39" t="s">
        <v>19</v>
      </c>
      <c r="N1186" s="43" t="s">
        <v>20</v>
      </c>
      <c r="O1186" s="43" t="s">
        <v>21</v>
      </c>
    </row>
    <row r="1187" spans="1:15" ht="40.5" customHeight="1">
      <c r="A1187" s="5">
        <v>38581</v>
      </c>
      <c r="B1187" s="18" t="s">
        <v>15</v>
      </c>
      <c r="C1187" s="23" t="s">
        <v>16</v>
      </c>
      <c r="D1187" s="7" t="s">
        <v>77</v>
      </c>
      <c r="E1187" s="69"/>
      <c r="G1187" s="7" t="s">
        <v>78</v>
      </c>
      <c r="H1187" s="95" t="s">
        <v>3358</v>
      </c>
      <c r="I1187" s="10"/>
      <c r="J1187" s="8">
        <v>215</v>
      </c>
      <c r="K1187" s="8">
        <v>2918</v>
      </c>
      <c r="L1187" s="11"/>
      <c r="M1187" s="39" t="s">
        <v>22</v>
      </c>
      <c r="N1187" s="43" t="s">
        <v>23</v>
      </c>
      <c r="O1187" s="43" t="s">
        <v>24</v>
      </c>
    </row>
    <row r="1188" spans="1:15" ht="40.5" customHeight="1">
      <c r="A1188" s="5">
        <v>38578</v>
      </c>
      <c r="B1188" s="18" t="s">
        <v>15</v>
      </c>
      <c r="C1188" s="34" t="s">
        <v>16</v>
      </c>
      <c r="D1188" s="7" t="s">
        <v>76</v>
      </c>
      <c r="E1188" s="69"/>
      <c r="G1188" s="7" t="s">
        <v>76</v>
      </c>
      <c r="H1188" s="96" t="s">
        <v>222</v>
      </c>
      <c r="I1188" s="10"/>
      <c r="J1188" s="8">
        <v>35</v>
      </c>
      <c r="K1188" s="8"/>
      <c r="L1188" s="11"/>
      <c r="M1188" s="39" t="s">
        <v>22</v>
      </c>
      <c r="N1188" s="43" t="s">
        <v>23</v>
      </c>
      <c r="O1188" s="43" t="s">
        <v>24</v>
      </c>
    </row>
    <row r="1189" spans="1:15" ht="18.75">
      <c r="A1189" s="5">
        <v>38564</v>
      </c>
      <c r="B1189" s="18" t="s">
        <v>15</v>
      </c>
      <c r="C1189" s="34" t="s">
        <v>16</v>
      </c>
      <c r="D1189" s="7" t="s">
        <v>27</v>
      </c>
      <c r="E1189" s="69"/>
      <c r="G1189" s="7" t="s">
        <v>30</v>
      </c>
      <c r="H1189" s="96" t="s">
        <v>222</v>
      </c>
      <c r="I1189" s="81" t="s">
        <v>29</v>
      </c>
      <c r="J1189" s="8">
        <v>137</v>
      </c>
      <c r="K1189" s="8">
        <v>1245</v>
      </c>
      <c r="L1189" s="11"/>
      <c r="M1189" s="39" t="s">
        <v>22</v>
      </c>
      <c r="N1189" s="43" t="s">
        <v>23</v>
      </c>
      <c r="O1189" s="43" t="s">
        <v>24</v>
      </c>
    </row>
    <row r="1190" spans="1:15" ht="27">
      <c r="A1190" s="5">
        <v>38557</v>
      </c>
      <c r="B1190" s="18" t="s">
        <v>15</v>
      </c>
      <c r="C1190" s="34" t="s">
        <v>16</v>
      </c>
      <c r="D1190" s="7" t="s">
        <v>74</v>
      </c>
      <c r="E1190" s="69"/>
      <c r="G1190" s="7" t="s">
        <v>75</v>
      </c>
      <c r="H1190" s="96" t="s">
        <v>222</v>
      </c>
      <c r="I1190" s="10"/>
      <c r="J1190" s="8">
        <v>99</v>
      </c>
      <c r="K1190" s="8">
        <v>689</v>
      </c>
      <c r="L1190" s="11"/>
      <c r="M1190" s="39" t="s">
        <v>19</v>
      </c>
      <c r="N1190" s="43" t="s">
        <v>20</v>
      </c>
      <c r="O1190" s="43" t="s">
        <v>21</v>
      </c>
    </row>
    <row r="1191" spans="1:15">
      <c r="A1191" s="5">
        <v>38556</v>
      </c>
      <c r="B1191" s="18" t="s">
        <v>15</v>
      </c>
      <c r="C1191" s="23" t="s">
        <v>16</v>
      </c>
      <c r="D1191" s="7" t="s">
        <v>72</v>
      </c>
      <c r="E1191" s="69"/>
      <c r="G1191" s="7" t="s">
        <v>73</v>
      </c>
      <c r="H1191" s="95" t="s">
        <v>3344</v>
      </c>
      <c r="I1191" s="10"/>
      <c r="J1191" s="8">
        <v>184</v>
      </c>
      <c r="K1191" s="8"/>
      <c r="L1191" s="11"/>
      <c r="M1191" s="39" t="s">
        <v>22</v>
      </c>
      <c r="N1191" s="43" t="s">
        <v>23</v>
      </c>
      <c r="O1191" s="43" t="s">
        <v>24</v>
      </c>
    </row>
    <row r="1192" spans="1:15" ht="14.25" customHeight="1">
      <c r="A1192" s="5">
        <v>38550</v>
      </c>
      <c r="B1192" s="18" t="s">
        <v>15</v>
      </c>
      <c r="C1192" s="23" t="s">
        <v>16</v>
      </c>
      <c r="D1192" s="7" t="s">
        <v>70</v>
      </c>
      <c r="E1192" s="69"/>
      <c r="G1192" s="7" t="s">
        <v>71</v>
      </c>
      <c r="H1192" s="95" t="s">
        <v>3202</v>
      </c>
      <c r="I1192" s="10"/>
      <c r="J1192" s="8">
        <v>106</v>
      </c>
      <c r="K1192" s="8">
        <v>2259</v>
      </c>
      <c r="L1192" s="11"/>
      <c r="M1192" s="39" t="s">
        <v>22</v>
      </c>
      <c r="N1192" s="43" t="s">
        <v>23</v>
      </c>
      <c r="O1192" s="43" t="s">
        <v>24</v>
      </c>
    </row>
    <row r="1193" spans="1:15" ht="14.25" customHeight="1">
      <c r="A1193" s="5">
        <v>38543</v>
      </c>
      <c r="B1193" s="18" t="s">
        <v>15</v>
      </c>
      <c r="C1193" s="23" t="s">
        <v>16</v>
      </c>
      <c r="D1193" s="7" t="s">
        <v>68</v>
      </c>
      <c r="E1193" s="69"/>
      <c r="G1193" s="7" t="s">
        <v>69</v>
      </c>
      <c r="H1193" s="96" t="s">
        <v>222</v>
      </c>
      <c r="I1193" s="10"/>
      <c r="J1193" s="8">
        <v>140</v>
      </c>
      <c r="K1193" s="8"/>
      <c r="L1193" s="11"/>
      <c r="M1193" s="39" t="s">
        <v>22</v>
      </c>
      <c r="N1193" s="43" t="s">
        <v>23</v>
      </c>
      <c r="O1193" s="43" t="s">
        <v>24</v>
      </c>
    </row>
    <row r="1194" spans="1:15" ht="14.25" customHeight="1">
      <c r="A1194" s="5">
        <v>38536</v>
      </c>
      <c r="B1194" s="18" t="s">
        <v>15</v>
      </c>
      <c r="C1194" s="34" t="s">
        <v>16</v>
      </c>
      <c r="D1194" s="7" t="s">
        <v>66</v>
      </c>
      <c r="E1194" s="69"/>
      <c r="G1194" s="7" t="s">
        <v>67</v>
      </c>
      <c r="H1194" s="73" t="s">
        <v>39</v>
      </c>
      <c r="I1194" s="10"/>
      <c r="J1194" s="8"/>
      <c r="K1194" s="8"/>
      <c r="L1194" s="11"/>
      <c r="M1194" s="39" t="s">
        <v>19</v>
      </c>
      <c r="N1194" s="43" t="s">
        <v>20</v>
      </c>
      <c r="O1194" s="43" t="s">
        <v>21</v>
      </c>
    </row>
    <row r="1195" spans="1:15" ht="40.5" customHeight="1">
      <c r="A1195" s="5">
        <v>38515</v>
      </c>
      <c r="B1195" s="18" t="s">
        <v>15</v>
      </c>
      <c r="C1195" s="34" t="s">
        <v>16</v>
      </c>
      <c r="D1195" s="7" t="s">
        <v>64</v>
      </c>
      <c r="E1195" s="69"/>
      <c r="G1195" s="7" t="s">
        <v>65</v>
      </c>
      <c r="H1195" s="95" t="s">
        <v>3203</v>
      </c>
      <c r="I1195" s="10"/>
      <c r="J1195" s="8">
        <v>82</v>
      </c>
      <c r="K1195" s="8"/>
      <c r="L1195" s="11"/>
      <c r="M1195" s="39" t="s">
        <v>22</v>
      </c>
      <c r="N1195" s="43" t="s">
        <v>23</v>
      </c>
      <c r="O1195" s="43" t="s">
        <v>24</v>
      </c>
    </row>
    <row r="1196" spans="1:15" ht="27" customHeight="1">
      <c r="A1196" s="5">
        <v>38508</v>
      </c>
      <c r="B1196" s="18" t="s">
        <v>15</v>
      </c>
      <c r="C1196" s="34" t="s">
        <v>16</v>
      </c>
      <c r="D1196" s="7" t="s">
        <v>17</v>
      </c>
      <c r="E1196" s="69"/>
      <c r="G1196" s="7" t="s">
        <v>18</v>
      </c>
      <c r="H1196" s="96" t="s">
        <v>222</v>
      </c>
      <c r="I1196" s="10"/>
      <c r="J1196" s="8">
        <v>70</v>
      </c>
      <c r="K1196" s="8"/>
      <c r="L1196" s="11"/>
      <c r="M1196" s="39" t="s">
        <v>22</v>
      </c>
      <c r="N1196" s="43" t="s">
        <v>23</v>
      </c>
      <c r="O1196" s="43" t="s">
        <v>24</v>
      </c>
    </row>
    <row r="1197" spans="1:15" ht="13.5">
      <c r="A1197" s="5">
        <v>38501</v>
      </c>
      <c r="B1197" s="18" t="s">
        <v>15</v>
      </c>
      <c r="C1197" s="34" t="s">
        <v>16</v>
      </c>
      <c r="D1197" s="7" t="s">
        <v>62</v>
      </c>
      <c r="E1197" s="69"/>
      <c r="G1197" s="9" t="s">
        <v>63</v>
      </c>
      <c r="H1197" s="95" t="s">
        <v>3348</v>
      </c>
      <c r="I1197" s="7"/>
      <c r="J1197" s="8">
        <v>150</v>
      </c>
      <c r="K1197" s="8"/>
      <c r="L1197" s="11"/>
      <c r="M1197" s="39" t="s">
        <v>22</v>
      </c>
      <c r="N1197" s="43" t="s">
        <v>23</v>
      </c>
      <c r="O1197" s="43" t="s">
        <v>24</v>
      </c>
    </row>
    <row r="1198" spans="1:15" ht="18.75">
      <c r="A1198" s="5">
        <v>38494</v>
      </c>
      <c r="B1198" s="18" t="s">
        <v>15</v>
      </c>
      <c r="C1198" s="34" t="s">
        <v>16</v>
      </c>
      <c r="D1198" s="7" t="s">
        <v>27</v>
      </c>
      <c r="E1198" s="69"/>
      <c r="G1198" s="7" t="s">
        <v>28</v>
      </c>
      <c r="H1198" s="96" t="s">
        <v>222</v>
      </c>
      <c r="I1198" s="81" t="s">
        <v>29</v>
      </c>
      <c r="J1198" s="8">
        <v>150</v>
      </c>
      <c r="K1198" s="8">
        <v>1245</v>
      </c>
      <c r="L1198" s="11"/>
      <c r="M1198" s="39" t="s">
        <v>22</v>
      </c>
      <c r="N1198" s="43" t="s">
        <v>23</v>
      </c>
      <c r="O1198" s="43" t="s">
        <v>24</v>
      </c>
    </row>
    <row r="1199" spans="1:15" ht="27" customHeight="1">
      <c r="A1199" s="5">
        <v>38487</v>
      </c>
      <c r="B1199" s="18" t="s">
        <v>15</v>
      </c>
      <c r="C1199" s="34" t="s">
        <v>16</v>
      </c>
      <c r="D1199" s="7" t="s">
        <v>17</v>
      </c>
      <c r="E1199" s="69"/>
      <c r="G1199" s="7" t="s">
        <v>61</v>
      </c>
      <c r="H1199" s="96" t="s">
        <v>222</v>
      </c>
      <c r="I1199" s="10"/>
      <c r="J1199" s="8">
        <v>80</v>
      </c>
      <c r="K1199" s="8"/>
      <c r="L1199" s="11"/>
      <c r="M1199" s="39" t="s">
        <v>22</v>
      </c>
      <c r="N1199" s="43" t="s">
        <v>23</v>
      </c>
      <c r="O1199" s="43" t="s">
        <v>24</v>
      </c>
    </row>
    <row r="1200" spans="1:15">
      <c r="A1200" s="5">
        <v>38480</v>
      </c>
      <c r="B1200" s="18" t="s">
        <v>15</v>
      </c>
      <c r="C1200" s="34" t="s">
        <v>16</v>
      </c>
      <c r="D1200" s="7" t="s">
        <v>17</v>
      </c>
      <c r="E1200" s="69"/>
      <c r="G1200" s="7" t="s">
        <v>60</v>
      </c>
      <c r="H1200" s="96" t="s">
        <v>222</v>
      </c>
      <c r="I1200" s="10"/>
      <c r="J1200" s="8">
        <v>60</v>
      </c>
      <c r="K1200" s="8"/>
      <c r="L1200" s="11"/>
      <c r="M1200" s="39" t="s">
        <v>22</v>
      </c>
      <c r="N1200" s="43" t="s">
        <v>23</v>
      </c>
      <c r="O1200" s="43" t="s">
        <v>24</v>
      </c>
    </row>
    <row r="1201" spans="1:15" ht="27">
      <c r="A1201" s="5">
        <v>38477</v>
      </c>
      <c r="B1201" s="18" t="s">
        <v>15</v>
      </c>
      <c r="C1201" s="34" t="s">
        <v>16</v>
      </c>
      <c r="D1201" s="7" t="s">
        <v>58</v>
      </c>
      <c r="E1201" s="69"/>
      <c r="G1201" s="7" t="s">
        <v>59</v>
      </c>
      <c r="H1201" s="95" t="s">
        <v>3202</v>
      </c>
      <c r="I1201" s="10"/>
      <c r="J1201" s="8">
        <v>50</v>
      </c>
      <c r="K1201" s="8"/>
      <c r="L1201" s="11"/>
      <c r="M1201" s="39" t="s">
        <v>22</v>
      </c>
      <c r="N1201" s="43" t="s">
        <v>23</v>
      </c>
      <c r="O1201" s="43" t="s">
        <v>24</v>
      </c>
    </row>
    <row r="1202" spans="1:15">
      <c r="A1202" s="5">
        <v>38476</v>
      </c>
      <c r="B1202" s="18" t="s">
        <v>15</v>
      </c>
      <c r="C1202" s="34" t="s">
        <v>16</v>
      </c>
      <c r="D1202" s="7" t="s">
        <v>56</v>
      </c>
      <c r="E1202" s="69"/>
      <c r="G1202" s="7" t="s">
        <v>57</v>
      </c>
      <c r="H1202" s="95" t="s">
        <v>3202</v>
      </c>
      <c r="I1202" s="10"/>
      <c r="J1202" s="8">
        <v>30</v>
      </c>
      <c r="K1202" s="8"/>
      <c r="L1202" s="11"/>
      <c r="M1202" s="39" t="s">
        <v>22</v>
      </c>
      <c r="N1202" s="43" t="s">
        <v>23</v>
      </c>
      <c r="O1202" s="43" t="s">
        <v>24</v>
      </c>
    </row>
    <row r="1203" spans="1:15">
      <c r="A1203" s="5">
        <v>38475</v>
      </c>
      <c r="B1203" s="18" t="s">
        <v>15</v>
      </c>
      <c r="C1203" s="23" t="s">
        <v>16</v>
      </c>
      <c r="D1203" s="7" t="s">
        <v>54</v>
      </c>
      <c r="E1203" s="69"/>
      <c r="G1203" s="7" t="s">
        <v>55</v>
      </c>
      <c r="H1203" s="95" t="s">
        <v>3359</v>
      </c>
      <c r="I1203" s="10"/>
      <c r="J1203" s="8">
        <v>110</v>
      </c>
      <c r="K1203" s="8"/>
      <c r="L1203" s="11"/>
      <c r="M1203" s="39" t="s">
        <v>19</v>
      </c>
      <c r="N1203" s="43" t="s">
        <v>20</v>
      </c>
      <c r="O1203" s="43" t="s">
        <v>21</v>
      </c>
    </row>
    <row r="1204" spans="1:15">
      <c r="A1204" s="5">
        <v>38474</v>
      </c>
      <c r="B1204" s="18" t="s">
        <v>15</v>
      </c>
      <c r="C1204" s="34" t="s">
        <v>16</v>
      </c>
      <c r="D1204" s="7" t="s">
        <v>52</v>
      </c>
      <c r="E1204" s="69"/>
      <c r="G1204" s="7" t="s">
        <v>53</v>
      </c>
      <c r="H1204" s="95" t="s">
        <v>3201</v>
      </c>
      <c r="I1204" s="10"/>
      <c r="J1204" s="8">
        <v>30</v>
      </c>
      <c r="K1204" s="8"/>
      <c r="L1204" s="11"/>
      <c r="M1204" s="39" t="s">
        <v>19</v>
      </c>
      <c r="N1204" s="43" t="s">
        <v>20</v>
      </c>
      <c r="O1204" s="43" t="s">
        <v>21</v>
      </c>
    </row>
    <row r="1205" spans="1:15">
      <c r="A1205" s="5">
        <v>38473</v>
      </c>
      <c r="B1205" s="18" t="s">
        <v>15</v>
      </c>
      <c r="C1205" s="23" t="s">
        <v>16</v>
      </c>
      <c r="D1205" s="7" t="s">
        <v>50</v>
      </c>
      <c r="E1205" s="69"/>
      <c r="G1205" s="7" t="s">
        <v>51</v>
      </c>
      <c r="H1205" s="95" t="s">
        <v>3320</v>
      </c>
      <c r="I1205" s="10"/>
      <c r="J1205" s="8">
        <v>110</v>
      </c>
      <c r="K1205" s="8"/>
      <c r="L1205" s="11"/>
      <c r="M1205" s="39" t="s">
        <v>22</v>
      </c>
      <c r="N1205" s="43" t="s">
        <v>23</v>
      </c>
      <c r="O1205" s="43" t="s">
        <v>24</v>
      </c>
    </row>
    <row r="1206" spans="1:15">
      <c r="A1206" s="5">
        <v>38472</v>
      </c>
      <c r="B1206" s="18" t="s">
        <v>15</v>
      </c>
      <c r="C1206" s="34" t="s">
        <v>16</v>
      </c>
      <c r="D1206" s="7" t="s">
        <v>48</v>
      </c>
      <c r="E1206" s="69"/>
      <c r="G1206" s="7" t="s">
        <v>49</v>
      </c>
      <c r="H1206" s="95" t="s">
        <v>3200</v>
      </c>
      <c r="I1206" s="10"/>
      <c r="J1206" s="8">
        <v>15</v>
      </c>
      <c r="K1206" s="8"/>
      <c r="L1206" s="11"/>
      <c r="M1206" s="39" t="s">
        <v>22</v>
      </c>
      <c r="N1206" s="43" t="s">
        <v>23</v>
      </c>
      <c r="O1206" s="43" t="s">
        <v>24</v>
      </c>
    </row>
    <row r="1207" spans="1:15" ht="27" customHeight="1">
      <c r="A1207" s="5">
        <v>38466</v>
      </c>
      <c r="B1207" s="18" t="s">
        <v>15</v>
      </c>
      <c r="C1207" s="34" t="s">
        <v>16</v>
      </c>
      <c r="D1207" s="7" t="s">
        <v>17</v>
      </c>
      <c r="E1207" s="69"/>
      <c r="G1207" s="7" t="s">
        <v>18</v>
      </c>
      <c r="H1207" s="96" t="s">
        <v>222</v>
      </c>
      <c r="I1207" s="13" t="s">
        <v>47</v>
      </c>
      <c r="J1207" s="8">
        <v>50</v>
      </c>
      <c r="K1207" s="8"/>
      <c r="L1207" s="11"/>
      <c r="M1207" s="39" t="s">
        <v>22</v>
      </c>
      <c r="N1207" s="43" t="s">
        <v>23</v>
      </c>
      <c r="O1207" s="43" t="s">
        <v>24</v>
      </c>
    </row>
    <row r="1208" spans="1:15">
      <c r="A1208" s="5">
        <v>38465</v>
      </c>
      <c r="B1208" s="18" t="s">
        <v>15</v>
      </c>
      <c r="C1208" s="34" t="s">
        <v>16</v>
      </c>
      <c r="D1208" s="7" t="s">
        <v>32</v>
      </c>
      <c r="E1208" s="69"/>
      <c r="G1208" s="7" t="s">
        <v>45</v>
      </c>
      <c r="H1208" s="96" t="s">
        <v>222</v>
      </c>
      <c r="I1208" s="10"/>
      <c r="J1208" s="8">
        <v>70</v>
      </c>
      <c r="K1208" s="8"/>
      <c r="L1208" s="11"/>
      <c r="M1208" s="39" t="s">
        <v>19</v>
      </c>
      <c r="N1208" s="43" t="s">
        <v>20</v>
      </c>
      <c r="O1208" s="43" t="s">
        <v>21</v>
      </c>
    </row>
    <row r="1209" spans="1:15">
      <c r="A1209" s="5">
        <v>38459</v>
      </c>
      <c r="B1209" s="18" t="s">
        <v>15</v>
      </c>
      <c r="C1209" s="23" t="s">
        <v>16</v>
      </c>
      <c r="D1209" s="7" t="s">
        <v>43</v>
      </c>
      <c r="E1209" s="69"/>
      <c r="G1209" s="7" t="s">
        <v>44</v>
      </c>
      <c r="H1209" s="95" t="s">
        <v>3348</v>
      </c>
      <c r="I1209" s="10"/>
      <c r="J1209" s="8">
        <v>150</v>
      </c>
      <c r="K1209" s="8">
        <v>1800</v>
      </c>
      <c r="L1209" s="11"/>
      <c r="M1209" s="39" t="s">
        <v>22</v>
      </c>
      <c r="N1209" s="43" t="s">
        <v>23</v>
      </c>
      <c r="O1209" s="43" t="s">
        <v>24</v>
      </c>
    </row>
    <row r="1210" spans="1:15" ht="27" customHeight="1">
      <c r="A1210" s="5">
        <v>38453</v>
      </c>
      <c r="B1210" s="18" t="s">
        <v>15</v>
      </c>
      <c r="C1210" s="34" t="s">
        <v>16</v>
      </c>
      <c r="D1210" s="7" t="s">
        <v>27</v>
      </c>
      <c r="E1210" s="69"/>
      <c r="G1210" s="7" t="s">
        <v>30</v>
      </c>
      <c r="H1210" s="96" t="s">
        <v>3198</v>
      </c>
      <c r="I1210" s="81" t="s">
        <v>29</v>
      </c>
      <c r="J1210" s="8">
        <v>130</v>
      </c>
      <c r="K1210" s="8">
        <v>1245</v>
      </c>
      <c r="L1210" s="11"/>
      <c r="M1210" s="39" t="s">
        <v>22</v>
      </c>
      <c r="N1210" s="43" t="s">
        <v>23</v>
      </c>
      <c r="O1210" s="43" t="s">
        <v>24</v>
      </c>
    </row>
    <row r="1211" spans="1:15" ht="40.5" customHeight="1">
      <c r="A1211" s="5">
        <v>38452</v>
      </c>
      <c r="B1211" s="18" t="s">
        <v>15</v>
      </c>
      <c r="C1211" s="34" t="s">
        <v>16</v>
      </c>
      <c r="D1211" s="7" t="s">
        <v>41</v>
      </c>
      <c r="E1211" s="69"/>
      <c r="G1211" s="7" t="s">
        <v>42</v>
      </c>
      <c r="H1211" s="96" t="s">
        <v>222</v>
      </c>
      <c r="I1211" s="24" t="s">
        <v>40</v>
      </c>
      <c r="J1211" s="8">
        <v>20</v>
      </c>
      <c r="K1211" s="8"/>
      <c r="L1211" s="11"/>
      <c r="M1211" s="39" t="s">
        <v>19</v>
      </c>
      <c r="N1211" s="43" t="s">
        <v>20</v>
      </c>
      <c r="O1211" s="43" t="s">
        <v>21</v>
      </c>
    </row>
    <row r="1212" spans="1:15" ht="27" customHeight="1">
      <c r="A1212" s="5">
        <v>38451</v>
      </c>
      <c r="B1212" s="18" t="s">
        <v>15</v>
      </c>
      <c r="C1212" s="34" t="s">
        <v>16</v>
      </c>
      <c r="D1212" s="7" t="s">
        <v>37</v>
      </c>
      <c r="E1212" s="69"/>
      <c r="G1212" s="7" t="s">
        <v>38</v>
      </c>
      <c r="H1212" s="96" t="s">
        <v>222</v>
      </c>
      <c r="I1212" s="24" t="s">
        <v>40</v>
      </c>
      <c r="J1212" s="8">
        <v>80</v>
      </c>
      <c r="K1212" s="8"/>
      <c r="L1212" s="11"/>
      <c r="M1212" s="39" t="s">
        <v>22</v>
      </c>
      <c r="N1212" s="43" t="s">
        <v>23</v>
      </c>
      <c r="O1212" s="43" t="s">
        <v>24</v>
      </c>
    </row>
    <row r="1213" spans="1:15" ht="27" customHeight="1">
      <c r="A1213" s="5">
        <v>38438</v>
      </c>
      <c r="B1213" s="18" t="s">
        <v>15</v>
      </c>
      <c r="C1213" s="34" t="s">
        <v>16</v>
      </c>
      <c r="D1213" s="7" t="s">
        <v>35</v>
      </c>
      <c r="E1213" s="69"/>
      <c r="G1213" s="7" t="s">
        <v>36</v>
      </c>
      <c r="H1213" s="96" t="s">
        <v>222</v>
      </c>
      <c r="I1213" s="10"/>
      <c r="J1213" s="8">
        <v>100</v>
      </c>
      <c r="K1213" s="8"/>
      <c r="L1213" s="11"/>
      <c r="M1213" s="39" t="s">
        <v>22</v>
      </c>
      <c r="N1213" s="43" t="s">
        <v>23</v>
      </c>
      <c r="O1213" s="43" t="s">
        <v>24</v>
      </c>
    </row>
    <row r="1214" spans="1:15">
      <c r="A1214" s="5">
        <v>38432</v>
      </c>
      <c r="B1214" s="18" t="s">
        <v>15</v>
      </c>
      <c r="C1214" s="34" t="s">
        <v>16</v>
      </c>
      <c r="D1214" s="7" t="s">
        <v>32</v>
      </c>
      <c r="E1214" s="69"/>
      <c r="G1214" s="7" t="s">
        <v>33</v>
      </c>
      <c r="H1214" s="96" t="s">
        <v>222</v>
      </c>
      <c r="I1214" s="10"/>
      <c r="J1214" s="8">
        <v>70</v>
      </c>
      <c r="K1214" s="8"/>
      <c r="L1214" s="11"/>
      <c r="M1214" s="39" t="s">
        <v>19</v>
      </c>
      <c r="N1214" s="43" t="s">
        <v>20</v>
      </c>
      <c r="O1214" s="43" t="s">
        <v>21</v>
      </c>
    </row>
    <row r="1215" spans="1:15" ht="18.75">
      <c r="A1215" s="5">
        <v>38431</v>
      </c>
      <c r="B1215" s="18" t="s">
        <v>15</v>
      </c>
      <c r="C1215" s="34" t="s">
        <v>16</v>
      </c>
      <c r="D1215" s="7" t="s">
        <v>27</v>
      </c>
      <c r="E1215" s="69"/>
      <c r="G1215" s="7" t="s">
        <v>30</v>
      </c>
      <c r="H1215" s="96" t="s">
        <v>222</v>
      </c>
      <c r="I1215" s="81" t="s">
        <v>29</v>
      </c>
      <c r="J1215" s="8">
        <v>130</v>
      </c>
      <c r="K1215" s="8">
        <v>1100</v>
      </c>
      <c r="L1215" s="11"/>
      <c r="M1215" s="39" t="s">
        <v>22</v>
      </c>
      <c r="N1215" s="43" t="s">
        <v>23</v>
      </c>
      <c r="O1215" s="43" t="s">
        <v>24</v>
      </c>
    </row>
    <row r="1216" spans="1:15" ht="18.75">
      <c r="A1216" s="5">
        <v>38423</v>
      </c>
      <c r="B1216" s="18" t="s">
        <v>15</v>
      </c>
      <c r="C1216" s="34" t="s">
        <v>16</v>
      </c>
      <c r="D1216" s="7" t="s">
        <v>27</v>
      </c>
      <c r="E1216" s="69"/>
      <c r="G1216" s="7" t="s">
        <v>28</v>
      </c>
      <c r="H1216" s="96" t="s">
        <v>222</v>
      </c>
      <c r="I1216" s="81" t="s">
        <v>29</v>
      </c>
      <c r="J1216" s="8">
        <v>150</v>
      </c>
      <c r="K1216" s="8">
        <v>1245</v>
      </c>
      <c r="L1216" s="11"/>
      <c r="M1216" s="39" t="s">
        <v>22</v>
      </c>
      <c r="N1216" s="43" t="s">
        <v>23</v>
      </c>
      <c r="O1216" s="43" t="s">
        <v>24</v>
      </c>
    </row>
    <row r="1217" spans="1:15" ht="40.5" customHeight="1">
      <c r="A1217" s="5">
        <v>38410</v>
      </c>
      <c r="B1217" s="18" t="s">
        <v>15</v>
      </c>
      <c r="C1217" s="34" t="s">
        <v>16</v>
      </c>
      <c r="D1217" s="7" t="s">
        <v>25</v>
      </c>
      <c r="E1217" s="69"/>
      <c r="G1217" s="7" t="s">
        <v>26</v>
      </c>
      <c r="H1217" s="95" t="s">
        <v>3198</v>
      </c>
      <c r="I1217" s="10"/>
      <c r="J1217" s="8">
        <v>120</v>
      </c>
      <c r="K1217" s="8"/>
      <c r="L1217" s="11"/>
      <c r="M1217" s="39" t="s">
        <v>22</v>
      </c>
      <c r="N1217" s="43" t="s">
        <v>23</v>
      </c>
      <c r="O1217" s="43" t="s">
        <v>24</v>
      </c>
    </row>
    <row r="1218" spans="1:15">
      <c r="A1218" s="5">
        <v>38356</v>
      </c>
      <c r="B1218" s="18" t="s">
        <v>15</v>
      </c>
      <c r="C1218" s="34" t="s">
        <v>16</v>
      </c>
      <c r="D1218" s="7" t="s">
        <v>17</v>
      </c>
      <c r="E1218" s="69"/>
      <c r="G1218" s="7" t="s">
        <v>18</v>
      </c>
      <c r="H1218" s="95" t="s">
        <v>3198</v>
      </c>
      <c r="I1218" s="10"/>
      <c r="J1218" s="8">
        <v>70</v>
      </c>
      <c r="K1218" s="8"/>
      <c r="L1218" s="11"/>
      <c r="M1218" s="39" t="s">
        <v>22</v>
      </c>
      <c r="N1218" s="43" t="s">
        <v>23</v>
      </c>
      <c r="O1218" s="43" t="s">
        <v>24</v>
      </c>
    </row>
    <row r="1219" spans="1:15">
      <c r="A1219" s="28">
        <v>38354</v>
      </c>
      <c r="B1219" s="29" t="s">
        <v>15</v>
      </c>
      <c r="C1219" s="98" t="s">
        <v>16</v>
      </c>
      <c r="D1219" s="100" t="s">
        <v>17</v>
      </c>
      <c r="E1219" s="102"/>
      <c r="G1219" s="100" t="s">
        <v>3197</v>
      </c>
      <c r="H1219" s="95" t="s">
        <v>3198</v>
      </c>
      <c r="I1219" s="107"/>
      <c r="J1219" s="30">
        <v>70</v>
      </c>
      <c r="K1219" s="30"/>
      <c r="L1219" s="109"/>
      <c r="M1219" s="111" t="s">
        <v>19</v>
      </c>
      <c r="N1219" s="112" t="s">
        <v>20</v>
      </c>
      <c r="O1219" s="112" t="s">
        <v>21</v>
      </c>
    </row>
    <row r="1220" spans="1:15">
      <c r="F1220" s="84"/>
    </row>
  </sheetData>
  <phoneticPr fontId="2"/>
  <conditionalFormatting sqref="H2:H1219">
    <cfRule type="expression" dxfId="0" priority="1">
      <formula>MOD(ROW(),2)=0</formula>
    </cfRule>
  </conditionalFormatting>
  <conditionalFormatting sqref="K2:K1048576">
    <cfRule type="dataBar" priority="535">
      <dataBar>
        <cfvo type="min"/>
        <cfvo type="max"/>
        <color rgb="FF22C55E"/>
      </dataBar>
    </cfRule>
    <cfRule type="dataBar" priority="536">
      <dataBar>
        <cfvo type="min"/>
        <cfvo type="max"/>
        <color rgb="FF22C55E"/>
      </dataBar>
    </cfRule>
    <cfRule type="dataBar" priority="537">
      <dataBar>
        <cfvo type="min"/>
        <cfvo type="max"/>
        <color rgb="FF22C55E"/>
      </dataBar>
    </cfRule>
    <cfRule type="dataBar" priority="538">
      <dataBar>
        <cfvo type="min"/>
        <cfvo type="max"/>
        <color rgb="FF22C55E"/>
      </dataBar>
    </cfRule>
    <cfRule type="dataBar" priority="539">
      <dataBar>
        <cfvo type="min"/>
        <cfvo type="max"/>
        <color rgb="FF22C55E"/>
      </dataBar>
    </cfRule>
    <cfRule type="dataBar" priority="540">
      <dataBar>
        <cfvo type="min"/>
        <cfvo type="max"/>
        <color rgb="FF22C55E"/>
      </dataBar>
    </cfRule>
    <cfRule type="dataBar" priority="541">
      <dataBar>
        <cfvo type="min"/>
        <cfvo type="max"/>
        <color rgb="FF22C55E"/>
      </dataBar>
    </cfRule>
    <cfRule type="dataBar" priority="542">
      <dataBar>
        <cfvo type="min"/>
        <cfvo type="max"/>
        <color rgb="FF22C55E"/>
      </dataBar>
    </cfRule>
    <cfRule type="dataBar" priority="543">
      <dataBar>
        <cfvo type="min"/>
        <cfvo type="max"/>
        <color rgb="FF22C55E"/>
      </dataBar>
    </cfRule>
    <cfRule type="dataBar" priority="544">
      <dataBar>
        <cfvo type="min"/>
        <cfvo type="max"/>
        <color rgb="FF22C55E"/>
      </dataBar>
    </cfRule>
    <cfRule type="dataBar" priority="545">
      <dataBar>
        <cfvo type="min"/>
        <cfvo type="max"/>
        <color rgb="FF22C55E"/>
      </dataBar>
    </cfRule>
    <cfRule type="dataBar" priority="546">
      <dataBar>
        <cfvo type="min"/>
        <cfvo type="max"/>
        <color rgb="FF22C55E"/>
      </dataBar>
    </cfRule>
    <cfRule type="dataBar" priority="547">
      <dataBar>
        <cfvo type="min"/>
        <cfvo type="max"/>
        <color rgb="FF22C55E"/>
      </dataBar>
    </cfRule>
    <cfRule type="dataBar" priority="548">
      <dataBar>
        <cfvo type="min"/>
        <cfvo type="max"/>
        <color rgb="FF22C55E"/>
      </dataBar>
    </cfRule>
    <cfRule type="dataBar" priority="549">
      <dataBar>
        <cfvo type="min"/>
        <cfvo type="max"/>
        <color rgb="FF22C55E"/>
      </dataBar>
    </cfRule>
  </conditionalFormatting>
  <dataValidations count="5">
    <dataValidation type="list" allowBlank="1" sqref="M2:M833 M835:M840 M842:M1048576 N720:O720 N868:O868 N985:O985 N987:O987 N1028:O1028" xr:uid="{00000000-0002-0000-0000-000000000000}">
      <formula1>"－,e-bike,MTB,クロス,シクロ,ﾏﾏﾁｬﾘ,ロード,小径車,登山"</formula1>
    </dataValidation>
    <dataValidation type="list" allowBlank="1" sqref="M834 M841 N2:N719 N721:N867 N869:N984 N986 N988:N1027 N1029:N1048576" xr:uid="{00000000-0002-0000-0000-000001000000}">
      <formula1>"－,Cannondale,DE ROSA,GARY FISHER,GIANT,LOOK,ORBEA,PINARELLO,r&amp;m,SPECIALIZED,TREK,レンタル"</formula1>
    </dataValidation>
    <dataValidation type="list" allowBlank="1" sqref="O2:O719 O721:O867 O869:O984 O986 O988:O1027 O1029:O1048576" xr:uid="{00000000-0002-0000-0000-000002000000}">
      <formula1>"－,7300,BD-1,CAAD10,CAAD12,CAADX,Epic Marathon,Escape R3,F300,KG461,KG585,ONIX,ORCA M30iLTD PWR,SYNAPSE Hi-Mod,TEAM,Topstone 3L,Topstone Neo Carbon 4,X1,X85,Ziggurat,レンタル"</formula1>
    </dataValidation>
    <dataValidation type="list" allowBlank="1" sqref="B2:B1048576" xr:uid="{00000000-0002-0000-0000-000003000000}">
      <formula1>"🏔,🏔🚲,🚲,🚶,🚶🚲"</formula1>
    </dataValidation>
    <dataValidation type="list" allowBlank="1" sqref="C2:C1048576" xr:uid="{00000000-0002-0000-0000-000004000000}">
      <formula1>"イベント,ウォーキング,グラベル,サイクリング,ハイキング,レース,山サイ,多摩川,登山"</formula1>
    </dataValidation>
  </dataValidations>
  <hyperlinks>
    <hyperlink ref="E1115" r:id="rId1" xr:uid="{00000000-0004-0000-0000-000000000000}"/>
    <hyperlink ref="E1107" r:id="rId2" xr:uid="{00000000-0004-0000-0000-000001000000}"/>
    <hyperlink ref="E1086" r:id="rId3" xr:uid="{00000000-0004-0000-0000-000002000000}"/>
    <hyperlink ref="E1083" r:id="rId4" xr:uid="{00000000-0004-0000-0000-000003000000}"/>
    <hyperlink ref="E1075" r:id="rId5" xr:uid="{00000000-0004-0000-0000-000004000000}"/>
    <hyperlink ref="E1069" r:id="rId6" xr:uid="{00000000-0004-0000-0000-000005000000}"/>
    <hyperlink ref="E1067" r:id="rId7" xr:uid="{00000000-0004-0000-0000-000006000000}"/>
    <hyperlink ref="E1066" r:id="rId8" xr:uid="{00000000-0004-0000-0000-000007000000}"/>
    <hyperlink ref="E1062" r:id="rId9" xr:uid="{00000000-0004-0000-0000-000008000000}"/>
    <hyperlink ref="E1060" r:id="rId10" xr:uid="{00000000-0004-0000-0000-000009000000}"/>
    <hyperlink ref="E1058" r:id="rId11" xr:uid="{00000000-0004-0000-0000-00000A000000}"/>
    <hyperlink ref="E1057" r:id="rId12" xr:uid="{00000000-0004-0000-0000-00000B000000}"/>
    <hyperlink ref="E1056" r:id="rId13" xr:uid="{00000000-0004-0000-0000-00000C000000}"/>
    <hyperlink ref="E1054" r:id="rId14" xr:uid="{00000000-0004-0000-0000-00000D000000}"/>
    <hyperlink ref="E1053" r:id="rId15" xr:uid="{00000000-0004-0000-0000-00000E000000}"/>
    <hyperlink ref="E1052" r:id="rId16" xr:uid="{00000000-0004-0000-0000-00000F000000}"/>
    <hyperlink ref="E1051" r:id="rId17" xr:uid="{00000000-0004-0000-0000-000010000000}"/>
    <hyperlink ref="E1046" r:id="rId18" xr:uid="{00000000-0004-0000-0000-000011000000}"/>
    <hyperlink ref="E1045" r:id="rId19" xr:uid="{00000000-0004-0000-0000-000012000000}"/>
    <hyperlink ref="E1044" r:id="rId20" xr:uid="{00000000-0004-0000-0000-000013000000}"/>
    <hyperlink ref="E1042" r:id="rId21" xr:uid="{00000000-0004-0000-0000-000014000000}"/>
    <hyperlink ref="E1041" r:id="rId22" xr:uid="{00000000-0004-0000-0000-000015000000}"/>
    <hyperlink ref="E1032" r:id="rId23" xr:uid="{00000000-0004-0000-0000-000016000000}"/>
    <hyperlink ref="E1031" r:id="rId24" xr:uid="{00000000-0004-0000-0000-000017000000}"/>
    <hyperlink ref="E1030" r:id="rId25" xr:uid="{00000000-0004-0000-0000-000018000000}"/>
    <hyperlink ref="E1029" r:id="rId26" xr:uid="{00000000-0004-0000-0000-000019000000}"/>
    <hyperlink ref="E1028" r:id="rId27" xr:uid="{00000000-0004-0000-0000-00001A000000}"/>
    <hyperlink ref="E1027" r:id="rId28" xr:uid="{00000000-0004-0000-0000-00001B000000}"/>
    <hyperlink ref="E1024" r:id="rId29" xr:uid="{00000000-0004-0000-0000-00001C000000}"/>
    <hyperlink ref="E1023" r:id="rId30" xr:uid="{00000000-0004-0000-0000-00001D000000}"/>
    <hyperlink ref="E1019" r:id="rId31" xr:uid="{00000000-0004-0000-0000-00001E000000}"/>
    <hyperlink ref="E1018" r:id="rId32" xr:uid="{00000000-0004-0000-0000-00001F000000}"/>
    <hyperlink ref="E1017" r:id="rId33" xr:uid="{00000000-0004-0000-0000-000020000000}"/>
    <hyperlink ref="E1016" r:id="rId34" xr:uid="{00000000-0004-0000-0000-000021000000}"/>
    <hyperlink ref="E1014" r:id="rId35" xr:uid="{00000000-0004-0000-0000-000022000000}"/>
    <hyperlink ref="E1013" r:id="rId36" xr:uid="{00000000-0004-0000-0000-000023000000}"/>
    <hyperlink ref="E1012" r:id="rId37" xr:uid="{00000000-0004-0000-0000-000024000000}"/>
    <hyperlink ref="E1011" r:id="rId38" xr:uid="{00000000-0004-0000-0000-000025000000}"/>
    <hyperlink ref="E1010" r:id="rId39" xr:uid="{00000000-0004-0000-0000-000026000000}"/>
    <hyperlink ref="E1009" r:id="rId40" xr:uid="{00000000-0004-0000-0000-000027000000}"/>
    <hyperlink ref="E1008" r:id="rId41" xr:uid="{00000000-0004-0000-0000-000028000000}"/>
    <hyperlink ref="E1004" r:id="rId42" xr:uid="{00000000-0004-0000-0000-000029000000}"/>
    <hyperlink ref="E1003" r:id="rId43" xr:uid="{00000000-0004-0000-0000-00002A000000}"/>
    <hyperlink ref="E1002" r:id="rId44" xr:uid="{00000000-0004-0000-0000-00002B000000}"/>
    <hyperlink ref="E1000" r:id="rId45" xr:uid="{00000000-0004-0000-0000-00002C000000}"/>
    <hyperlink ref="E998" r:id="rId46" xr:uid="{00000000-0004-0000-0000-00002D000000}"/>
    <hyperlink ref="E997" r:id="rId47" xr:uid="{00000000-0004-0000-0000-00002E000000}"/>
    <hyperlink ref="E995" r:id="rId48" xr:uid="{00000000-0004-0000-0000-00002F000000}"/>
    <hyperlink ref="E994" r:id="rId49" xr:uid="{00000000-0004-0000-0000-000030000000}"/>
    <hyperlink ref="E992" r:id="rId50" xr:uid="{00000000-0004-0000-0000-000031000000}"/>
    <hyperlink ref="E990" r:id="rId51" xr:uid="{00000000-0004-0000-0000-000032000000}"/>
    <hyperlink ref="E989" r:id="rId52" xr:uid="{00000000-0004-0000-0000-000033000000}"/>
    <hyperlink ref="E988" r:id="rId53" xr:uid="{00000000-0004-0000-0000-000034000000}"/>
    <hyperlink ref="E987" r:id="rId54" xr:uid="{00000000-0004-0000-0000-000035000000}"/>
    <hyperlink ref="E986" r:id="rId55" xr:uid="{00000000-0004-0000-0000-000036000000}"/>
    <hyperlink ref="E984" r:id="rId56" xr:uid="{00000000-0004-0000-0000-000037000000}"/>
    <hyperlink ref="E982" r:id="rId57" xr:uid="{00000000-0004-0000-0000-000038000000}"/>
    <hyperlink ref="E983" r:id="rId58" xr:uid="{00000000-0004-0000-0000-000039000000}"/>
    <hyperlink ref="E979" r:id="rId59" xr:uid="{00000000-0004-0000-0000-00003A000000}"/>
    <hyperlink ref="E978" r:id="rId60" xr:uid="{00000000-0004-0000-0000-00003B000000}"/>
    <hyperlink ref="E977" r:id="rId61" xr:uid="{00000000-0004-0000-0000-00003C000000}"/>
    <hyperlink ref="E976" r:id="rId62" xr:uid="{00000000-0004-0000-0000-00003D000000}"/>
    <hyperlink ref="E974" r:id="rId63" xr:uid="{00000000-0004-0000-0000-00003E000000}"/>
    <hyperlink ref="E973" r:id="rId64" xr:uid="{00000000-0004-0000-0000-00003F000000}"/>
    <hyperlink ref="E972" r:id="rId65" xr:uid="{00000000-0004-0000-0000-000040000000}"/>
    <hyperlink ref="E968" r:id="rId66" xr:uid="{00000000-0004-0000-0000-000041000000}"/>
    <hyperlink ref="E967" r:id="rId67" xr:uid="{00000000-0004-0000-0000-000042000000}"/>
    <hyperlink ref="E966" r:id="rId68" xr:uid="{00000000-0004-0000-0000-000043000000}"/>
    <hyperlink ref="E965" r:id="rId69" xr:uid="{00000000-0004-0000-0000-000044000000}"/>
    <hyperlink ref="E964" r:id="rId70" xr:uid="{00000000-0004-0000-0000-000045000000}"/>
    <hyperlink ref="E963" r:id="rId71" xr:uid="{00000000-0004-0000-0000-000046000000}"/>
    <hyperlink ref="E962" r:id="rId72" xr:uid="{00000000-0004-0000-0000-000047000000}"/>
    <hyperlink ref="E961" r:id="rId73" xr:uid="{00000000-0004-0000-0000-000048000000}"/>
    <hyperlink ref="E960" r:id="rId74" xr:uid="{00000000-0004-0000-0000-000049000000}"/>
    <hyperlink ref="E959" r:id="rId75" xr:uid="{00000000-0004-0000-0000-00004A000000}"/>
    <hyperlink ref="E957" r:id="rId76" xr:uid="{00000000-0004-0000-0000-00004B000000}"/>
    <hyperlink ref="E955" r:id="rId77" xr:uid="{00000000-0004-0000-0000-00004C000000}"/>
    <hyperlink ref="E954" r:id="rId78" xr:uid="{00000000-0004-0000-0000-00004D000000}"/>
    <hyperlink ref="E953" r:id="rId79" xr:uid="{00000000-0004-0000-0000-00004E000000}"/>
    <hyperlink ref="E952" r:id="rId80" xr:uid="{00000000-0004-0000-0000-00004F000000}"/>
    <hyperlink ref="E951" r:id="rId81" xr:uid="{00000000-0004-0000-0000-000050000000}"/>
    <hyperlink ref="E950" r:id="rId82" xr:uid="{00000000-0004-0000-0000-000051000000}"/>
    <hyperlink ref="E949" r:id="rId83" xr:uid="{00000000-0004-0000-0000-000052000000}"/>
    <hyperlink ref="E948" r:id="rId84" xr:uid="{00000000-0004-0000-0000-000053000000}"/>
    <hyperlink ref="E947" r:id="rId85" xr:uid="{00000000-0004-0000-0000-000054000000}"/>
    <hyperlink ref="E942" r:id="rId86" xr:uid="{00000000-0004-0000-0000-000055000000}"/>
    <hyperlink ref="E941" r:id="rId87" xr:uid="{00000000-0004-0000-0000-000056000000}"/>
    <hyperlink ref="E940" r:id="rId88" xr:uid="{00000000-0004-0000-0000-000057000000}"/>
    <hyperlink ref="E939" r:id="rId89" xr:uid="{00000000-0004-0000-0000-000058000000}"/>
    <hyperlink ref="E938" r:id="rId90" xr:uid="{00000000-0004-0000-0000-000059000000}"/>
    <hyperlink ref="E937" r:id="rId91" xr:uid="{00000000-0004-0000-0000-00005A000000}"/>
    <hyperlink ref="E936" r:id="rId92" xr:uid="{00000000-0004-0000-0000-00005B000000}"/>
    <hyperlink ref="E935" r:id="rId93" xr:uid="{00000000-0004-0000-0000-00005C000000}"/>
    <hyperlink ref="E932" r:id="rId94" xr:uid="{00000000-0004-0000-0000-00005D000000}"/>
    <hyperlink ref="E931" r:id="rId95" xr:uid="{00000000-0004-0000-0000-00005E000000}"/>
    <hyperlink ref="E930" r:id="rId96" xr:uid="{00000000-0004-0000-0000-00005F000000}"/>
    <hyperlink ref="E929" r:id="rId97" xr:uid="{00000000-0004-0000-0000-000060000000}"/>
    <hyperlink ref="E928" r:id="rId98" xr:uid="{00000000-0004-0000-0000-000061000000}"/>
    <hyperlink ref="E927" r:id="rId99" xr:uid="{00000000-0004-0000-0000-000062000000}"/>
    <hyperlink ref="E925" r:id="rId100" xr:uid="{00000000-0004-0000-0000-000063000000}"/>
    <hyperlink ref="E924" r:id="rId101" xr:uid="{00000000-0004-0000-0000-000064000000}"/>
    <hyperlink ref="E921" r:id="rId102" xr:uid="{00000000-0004-0000-0000-000065000000}"/>
    <hyperlink ref="E920" r:id="rId103" xr:uid="{00000000-0004-0000-0000-000066000000}"/>
    <hyperlink ref="E919" r:id="rId104" xr:uid="{00000000-0004-0000-0000-000067000000}"/>
    <hyperlink ref="E918" r:id="rId105" xr:uid="{00000000-0004-0000-0000-000068000000}"/>
    <hyperlink ref="E917" r:id="rId106" xr:uid="{00000000-0004-0000-0000-000069000000}"/>
    <hyperlink ref="E916" r:id="rId107" xr:uid="{00000000-0004-0000-0000-00006A000000}"/>
    <hyperlink ref="E914" r:id="rId108" xr:uid="{00000000-0004-0000-0000-00006B000000}"/>
    <hyperlink ref="E913" r:id="rId109" xr:uid="{00000000-0004-0000-0000-00006C000000}"/>
    <hyperlink ref="E912" r:id="rId110" xr:uid="{00000000-0004-0000-0000-00006D000000}"/>
    <hyperlink ref="E911" r:id="rId111" xr:uid="{00000000-0004-0000-0000-00006E000000}"/>
    <hyperlink ref="E910" r:id="rId112" xr:uid="{00000000-0004-0000-0000-00006F000000}"/>
    <hyperlink ref="E909" r:id="rId113" xr:uid="{00000000-0004-0000-0000-000070000000}"/>
    <hyperlink ref="E908" r:id="rId114" xr:uid="{00000000-0004-0000-0000-000071000000}"/>
    <hyperlink ref="E907" r:id="rId115" xr:uid="{00000000-0004-0000-0000-000072000000}"/>
    <hyperlink ref="E906" r:id="rId116" xr:uid="{00000000-0004-0000-0000-000073000000}"/>
    <hyperlink ref="E905" r:id="rId117" xr:uid="{00000000-0004-0000-0000-000074000000}"/>
    <hyperlink ref="E904" r:id="rId118" xr:uid="{00000000-0004-0000-0000-000075000000}"/>
    <hyperlink ref="E903" r:id="rId119" xr:uid="{00000000-0004-0000-0000-000076000000}"/>
    <hyperlink ref="E902" r:id="rId120" xr:uid="{00000000-0004-0000-0000-000077000000}"/>
    <hyperlink ref="E901" r:id="rId121" xr:uid="{00000000-0004-0000-0000-000078000000}"/>
    <hyperlink ref="E900" r:id="rId122" xr:uid="{00000000-0004-0000-0000-000079000000}"/>
    <hyperlink ref="E899" r:id="rId123" xr:uid="{00000000-0004-0000-0000-00007A000000}"/>
    <hyperlink ref="E898" r:id="rId124" xr:uid="{00000000-0004-0000-0000-00007B000000}"/>
    <hyperlink ref="E897" r:id="rId125" xr:uid="{00000000-0004-0000-0000-00007C000000}"/>
    <hyperlink ref="E896" r:id="rId126" xr:uid="{00000000-0004-0000-0000-00007D000000}"/>
    <hyperlink ref="E895" r:id="rId127" xr:uid="{00000000-0004-0000-0000-00007E000000}"/>
    <hyperlink ref="E894" r:id="rId128" xr:uid="{00000000-0004-0000-0000-00007F000000}"/>
    <hyperlink ref="E893" r:id="rId129" xr:uid="{00000000-0004-0000-0000-000080000000}"/>
    <hyperlink ref="E892" r:id="rId130" xr:uid="{00000000-0004-0000-0000-000081000000}"/>
    <hyperlink ref="E891" r:id="rId131" xr:uid="{00000000-0004-0000-0000-000082000000}"/>
    <hyperlink ref="E890" r:id="rId132" xr:uid="{00000000-0004-0000-0000-000083000000}"/>
    <hyperlink ref="E889" r:id="rId133" xr:uid="{00000000-0004-0000-0000-000084000000}"/>
    <hyperlink ref="E888" r:id="rId134" xr:uid="{00000000-0004-0000-0000-000085000000}"/>
    <hyperlink ref="E887" r:id="rId135" xr:uid="{00000000-0004-0000-0000-000086000000}"/>
    <hyperlink ref="E886" r:id="rId136" xr:uid="{00000000-0004-0000-0000-000087000000}"/>
    <hyperlink ref="E885" r:id="rId137" xr:uid="{00000000-0004-0000-0000-000088000000}"/>
    <hyperlink ref="E884" r:id="rId138" xr:uid="{00000000-0004-0000-0000-000089000000}"/>
    <hyperlink ref="E883" r:id="rId139" xr:uid="{00000000-0004-0000-0000-00008A000000}"/>
    <hyperlink ref="E882" r:id="rId140" xr:uid="{00000000-0004-0000-0000-00008B000000}"/>
    <hyperlink ref="E881" r:id="rId141" xr:uid="{00000000-0004-0000-0000-00008C000000}"/>
    <hyperlink ref="E880" r:id="rId142" xr:uid="{00000000-0004-0000-0000-00008D000000}"/>
    <hyperlink ref="E879" r:id="rId143" xr:uid="{00000000-0004-0000-0000-00008E000000}"/>
    <hyperlink ref="E878" r:id="rId144" xr:uid="{00000000-0004-0000-0000-00008F000000}"/>
    <hyperlink ref="E877" r:id="rId145" xr:uid="{00000000-0004-0000-0000-000090000000}"/>
    <hyperlink ref="E876" r:id="rId146" xr:uid="{00000000-0004-0000-0000-000091000000}"/>
    <hyperlink ref="E875" r:id="rId147" xr:uid="{00000000-0004-0000-0000-000092000000}"/>
    <hyperlink ref="E874" r:id="rId148" xr:uid="{00000000-0004-0000-0000-000093000000}"/>
    <hyperlink ref="E873" r:id="rId149" xr:uid="{00000000-0004-0000-0000-000094000000}"/>
    <hyperlink ref="E867" r:id="rId150" xr:uid="{00000000-0004-0000-0000-000095000000}"/>
    <hyperlink ref="E866" r:id="rId151" xr:uid="{00000000-0004-0000-0000-000096000000}"/>
    <hyperlink ref="E865" r:id="rId152" xr:uid="{00000000-0004-0000-0000-000097000000}"/>
    <hyperlink ref="E864" r:id="rId153" xr:uid="{00000000-0004-0000-0000-000098000000}"/>
    <hyperlink ref="E862" r:id="rId154" xr:uid="{00000000-0004-0000-0000-000099000000}"/>
    <hyperlink ref="E861" r:id="rId155" xr:uid="{00000000-0004-0000-0000-00009A000000}"/>
    <hyperlink ref="E860" r:id="rId156" xr:uid="{00000000-0004-0000-0000-00009B000000}"/>
    <hyperlink ref="E858" r:id="rId157" xr:uid="{00000000-0004-0000-0000-00009C000000}"/>
    <hyperlink ref="E857" r:id="rId158" xr:uid="{00000000-0004-0000-0000-00009D000000}"/>
    <hyperlink ref="E854" r:id="rId159" xr:uid="{00000000-0004-0000-0000-00009E000000}"/>
    <hyperlink ref="E853" r:id="rId160" xr:uid="{00000000-0004-0000-0000-00009F000000}"/>
    <hyperlink ref="E852" r:id="rId161" xr:uid="{00000000-0004-0000-0000-0000A0000000}"/>
    <hyperlink ref="E850" r:id="rId162" xr:uid="{00000000-0004-0000-0000-0000A1000000}"/>
    <hyperlink ref="E849" r:id="rId163" xr:uid="{00000000-0004-0000-0000-0000A2000000}"/>
    <hyperlink ref="E848" r:id="rId164" xr:uid="{00000000-0004-0000-0000-0000A3000000}"/>
    <hyperlink ref="E846" r:id="rId165" xr:uid="{00000000-0004-0000-0000-0000A4000000}"/>
    <hyperlink ref="E845" r:id="rId166" xr:uid="{00000000-0004-0000-0000-0000A5000000}"/>
    <hyperlink ref="E844" r:id="rId167" xr:uid="{00000000-0004-0000-0000-0000A6000000}"/>
    <hyperlink ref="E843" r:id="rId168" xr:uid="{00000000-0004-0000-0000-0000A7000000}"/>
    <hyperlink ref="E842" r:id="rId169" xr:uid="{00000000-0004-0000-0000-0000A8000000}"/>
    <hyperlink ref="E841" r:id="rId170" xr:uid="{00000000-0004-0000-0000-0000A9000000}"/>
    <hyperlink ref="E840" r:id="rId171" xr:uid="{00000000-0004-0000-0000-0000AA000000}"/>
    <hyperlink ref="E839" r:id="rId172" xr:uid="{00000000-0004-0000-0000-0000AB000000}"/>
    <hyperlink ref="E838" r:id="rId173" xr:uid="{00000000-0004-0000-0000-0000AC000000}"/>
    <hyperlink ref="E837" r:id="rId174" xr:uid="{00000000-0004-0000-0000-0000AD000000}"/>
    <hyperlink ref="E836" r:id="rId175" xr:uid="{00000000-0004-0000-0000-0000AE000000}"/>
    <hyperlink ref="E835" r:id="rId176" xr:uid="{00000000-0004-0000-0000-0000AF000000}"/>
    <hyperlink ref="E834" r:id="rId177" xr:uid="{00000000-0004-0000-0000-0000B0000000}"/>
    <hyperlink ref="E832" r:id="rId178" xr:uid="{00000000-0004-0000-0000-0000B1000000}"/>
    <hyperlink ref="E831" r:id="rId179" xr:uid="{00000000-0004-0000-0000-0000B2000000}"/>
    <hyperlink ref="E830" r:id="rId180" xr:uid="{00000000-0004-0000-0000-0000B3000000}"/>
    <hyperlink ref="E829" r:id="rId181" xr:uid="{00000000-0004-0000-0000-0000B4000000}"/>
    <hyperlink ref="E828" r:id="rId182" xr:uid="{00000000-0004-0000-0000-0000B5000000}"/>
    <hyperlink ref="E827" r:id="rId183" xr:uid="{00000000-0004-0000-0000-0000B6000000}"/>
    <hyperlink ref="E826" r:id="rId184" xr:uid="{00000000-0004-0000-0000-0000B7000000}"/>
    <hyperlink ref="E824" r:id="rId185" xr:uid="{00000000-0004-0000-0000-0000B8000000}"/>
    <hyperlink ref="E823" r:id="rId186" xr:uid="{00000000-0004-0000-0000-0000B9000000}"/>
    <hyperlink ref="E822" r:id="rId187" xr:uid="{00000000-0004-0000-0000-0000BA000000}"/>
    <hyperlink ref="E821" r:id="rId188" xr:uid="{00000000-0004-0000-0000-0000BB000000}"/>
    <hyperlink ref="E820" r:id="rId189" xr:uid="{00000000-0004-0000-0000-0000BC000000}"/>
    <hyperlink ref="E818" r:id="rId190" xr:uid="{00000000-0004-0000-0000-0000BD000000}"/>
    <hyperlink ref="E817" r:id="rId191" xr:uid="{00000000-0004-0000-0000-0000BE000000}"/>
    <hyperlink ref="E815" r:id="rId192" xr:uid="{00000000-0004-0000-0000-0000BF000000}"/>
    <hyperlink ref="E814" r:id="rId193" xr:uid="{00000000-0004-0000-0000-0000C0000000}"/>
    <hyperlink ref="E813" r:id="rId194" xr:uid="{00000000-0004-0000-0000-0000C1000000}"/>
    <hyperlink ref="E812" r:id="rId195" xr:uid="{00000000-0004-0000-0000-0000C2000000}"/>
    <hyperlink ref="E811" r:id="rId196" xr:uid="{00000000-0004-0000-0000-0000C3000000}"/>
    <hyperlink ref="E810" r:id="rId197" xr:uid="{00000000-0004-0000-0000-0000C4000000}"/>
    <hyperlink ref="E809" r:id="rId198" xr:uid="{00000000-0004-0000-0000-0000C5000000}"/>
    <hyperlink ref="E808" r:id="rId199" xr:uid="{00000000-0004-0000-0000-0000C6000000}"/>
    <hyperlink ref="E807" r:id="rId200" xr:uid="{00000000-0004-0000-0000-0000C7000000}"/>
    <hyperlink ref="E806" r:id="rId201" xr:uid="{00000000-0004-0000-0000-0000C8000000}"/>
    <hyperlink ref="E805" r:id="rId202" xr:uid="{00000000-0004-0000-0000-0000C9000000}"/>
    <hyperlink ref="E804" r:id="rId203" xr:uid="{00000000-0004-0000-0000-0000CA000000}"/>
    <hyperlink ref="E803" r:id="rId204" xr:uid="{00000000-0004-0000-0000-0000CB000000}"/>
    <hyperlink ref="E802" r:id="rId205" xr:uid="{00000000-0004-0000-0000-0000CC000000}"/>
    <hyperlink ref="E801" r:id="rId206" xr:uid="{00000000-0004-0000-0000-0000CD000000}"/>
    <hyperlink ref="E799" r:id="rId207" xr:uid="{00000000-0004-0000-0000-0000CE000000}"/>
    <hyperlink ref="E798" r:id="rId208" xr:uid="{00000000-0004-0000-0000-0000CF000000}"/>
    <hyperlink ref="E797" r:id="rId209" xr:uid="{00000000-0004-0000-0000-0000D0000000}"/>
    <hyperlink ref="E796" r:id="rId210" xr:uid="{00000000-0004-0000-0000-0000D1000000}"/>
    <hyperlink ref="E795" r:id="rId211" xr:uid="{00000000-0004-0000-0000-0000D2000000}"/>
    <hyperlink ref="E794" r:id="rId212" xr:uid="{00000000-0004-0000-0000-0000D3000000}"/>
    <hyperlink ref="E793" r:id="rId213" xr:uid="{00000000-0004-0000-0000-0000D4000000}"/>
    <hyperlink ref="E792" r:id="rId214" xr:uid="{00000000-0004-0000-0000-0000D5000000}"/>
    <hyperlink ref="E791" r:id="rId215" xr:uid="{00000000-0004-0000-0000-0000D6000000}"/>
    <hyperlink ref="E790" r:id="rId216" xr:uid="{00000000-0004-0000-0000-0000D7000000}"/>
    <hyperlink ref="E789" r:id="rId217" xr:uid="{00000000-0004-0000-0000-0000D8000000}"/>
    <hyperlink ref="E788" r:id="rId218" xr:uid="{00000000-0004-0000-0000-0000D9000000}"/>
    <hyperlink ref="E787" r:id="rId219" xr:uid="{00000000-0004-0000-0000-0000DA000000}"/>
    <hyperlink ref="E786" r:id="rId220" xr:uid="{00000000-0004-0000-0000-0000DB000000}"/>
    <hyperlink ref="E785" r:id="rId221" xr:uid="{00000000-0004-0000-0000-0000DC000000}"/>
    <hyperlink ref="E784" r:id="rId222" xr:uid="{00000000-0004-0000-0000-0000DD000000}"/>
    <hyperlink ref="E783" r:id="rId223" xr:uid="{00000000-0004-0000-0000-0000DE000000}"/>
    <hyperlink ref="E782" r:id="rId224" xr:uid="{00000000-0004-0000-0000-0000DF000000}"/>
    <hyperlink ref="E781" r:id="rId225" xr:uid="{00000000-0004-0000-0000-0000E0000000}"/>
    <hyperlink ref="E780" r:id="rId226" xr:uid="{00000000-0004-0000-0000-0000E1000000}"/>
    <hyperlink ref="E779" r:id="rId227" xr:uid="{00000000-0004-0000-0000-0000E2000000}"/>
    <hyperlink ref="E778" r:id="rId228" xr:uid="{00000000-0004-0000-0000-0000E3000000}"/>
    <hyperlink ref="E777" r:id="rId229" xr:uid="{00000000-0004-0000-0000-0000E4000000}"/>
    <hyperlink ref="E776" r:id="rId230" xr:uid="{00000000-0004-0000-0000-0000E5000000}"/>
    <hyperlink ref="E775" r:id="rId231" xr:uid="{00000000-0004-0000-0000-0000E6000000}"/>
    <hyperlink ref="E774" r:id="rId232" xr:uid="{00000000-0004-0000-0000-0000E7000000}"/>
    <hyperlink ref="E772" r:id="rId233" xr:uid="{00000000-0004-0000-0000-0000E8000000}"/>
    <hyperlink ref="E771" r:id="rId234" xr:uid="{00000000-0004-0000-0000-0000E9000000}"/>
    <hyperlink ref="E770" r:id="rId235" xr:uid="{00000000-0004-0000-0000-0000EA000000}"/>
    <hyperlink ref="E769" r:id="rId236" xr:uid="{00000000-0004-0000-0000-0000EB000000}"/>
    <hyperlink ref="E768" r:id="rId237" xr:uid="{00000000-0004-0000-0000-0000EC000000}"/>
    <hyperlink ref="E767" r:id="rId238" xr:uid="{00000000-0004-0000-0000-0000ED000000}"/>
    <hyperlink ref="E766" r:id="rId239" xr:uid="{00000000-0004-0000-0000-0000EE000000}"/>
    <hyperlink ref="E765" r:id="rId240" xr:uid="{00000000-0004-0000-0000-0000EF000000}"/>
    <hyperlink ref="E764" r:id="rId241" xr:uid="{00000000-0004-0000-0000-0000F0000000}"/>
    <hyperlink ref="E763" r:id="rId242" xr:uid="{00000000-0004-0000-0000-0000F1000000}"/>
    <hyperlink ref="E762" r:id="rId243" xr:uid="{00000000-0004-0000-0000-0000F2000000}"/>
    <hyperlink ref="E761" r:id="rId244" xr:uid="{00000000-0004-0000-0000-0000F3000000}"/>
    <hyperlink ref="E760" r:id="rId245" xr:uid="{00000000-0004-0000-0000-0000F4000000}"/>
    <hyperlink ref="E759" r:id="rId246" xr:uid="{00000000-0004-0000-0000-0000F5000000}"/>
    <hyperlink ref="E758" r:id="rId247" xr:uid="{00000000-0004-0000-0000-0000F6000000}"/>
    <hyperlink ref="E757" r:id="rId248" xr:uid="{00000000-0004-0000-0000-0000F7000000}"/>
    <hyperlink ref="E756" r:id="rId249" xr:uid="{00000000-0004-0000-0000-0000F8000000}"/>
    <hyperlink ref="E755" r:id="rId250" xr:uid="{00000000-0004-0000-0000-0000F9000000}"/>
    <hyperlink ref="E753" r:id="rId251" xr:uid="{00000000-0004-0000-0000-0000FA000000}"/>
    <hyperlink ref="E754" r:id="rId252" xr:uid="{00000000-0004-0000-0000-0000FB000000}"/>
    <hyperlink ref="E752" r:id="rId253" xr:uid="{00000000-0004-0000-0000-0000FC000000}"/>
    <hyperlink ref="E751" r:id="rId254" xr:uid="{00000000-0004-0000-0000-0000FD000000}"/>
    <hyperlink ref="E750" r:id="rId255" xr:uid="{00000000-0004-0000-0000-0000FE000000}"/>
    <hyperlink ref="E749" r:id="rId256" xr:uid="{00000000-0004-0000-0000-0000FF000000}"/>
    <hyperlink ref="E748" r:id="rId257" xr:uid="{00000000-0004-0000-0000-000000010000}"/>
    <hyperlink ref="E747" r:id="rId258" xr:uid="{00000000-0004-0000-0000-000001010000}"/>
    <hyperlink ref="E746" r:id="rId259" xr:uid="{00000000-0004-0000-0000-000002010000}"/>
    <hyperlink ref="E745" r:id="rId260" xr:uid="{00000000-0004-0000-0000-000003010000}"/>
    <hyperlink ref="E744" r:id="rId261" xr:uid="{00000000-0004-0000-0000-000004010000}"/>
    <hyperlink ref="E743" r:id="rId262" xr:uid="{00000000-0004-0000-0000-000005010000}"/>
    <hyperlink ref="E742" r:id="rId263" xr:uid="{00000000-0004-0000-0000-000006010000}"/>
    <hyperlink ref="E741" r:id="rId264" xr:uid="{00000000-0004-0000-0000-000007010000}"/>
    <hyperlink ref="E740" r:id="rId265" xr:uid="{00000000-0004-0000-0000-000008010000}"/>
    <hyperlink ref="E739" r:id="rId266" xr:uid="{00000000-0004-0000-0000-000009010000}"/>
    <hyperlink ref="E738" r:id="rId267" xr:uid="{00000000-0004-0000-0000-00000A010000}"/>
    <hyperlink ref="E737" r:id="rId268" xr:uid="{00000000-0004-0000-0000-00000B010000}"/>
    <hyperlink ref="E736" r:id="rId269" xr:uid="{00000000-0004-0000-0000-00000C010000}"/>
    <hyperlink ref="E735" r:id="rId270" xr:uid="{00000000-0004-0000-0000-00000D010000}"/>
    <hyperlink ref="E734" r:id="rId271" xr:uid="{00000000-0004-0000-0000-00000E010000}"/>
    <hyperlink ref="E733" r:id="rId272" xr:uid="{00000000-0004-0000-0000-00000F010000}"/>
    <hyperlink ref="E732" r:id="rId273" xr:uid="{00000000-0004-0000-0000-000010010000}"/>
    <hyperlink ref="E730" r:id="rId274" xr:uid="{00000000-0004-0000-0000-000011010000}"/>
    <hyperlink ref="E731" r:id="rId275" xr:uid="{00000000-0004-0000-0000-000012010000}"/>
    <hyperlink ref="E729" r:id="rId276" xr:uid="{00000000-0004-0000-0000-000013010000}"/>
    <hyperlink ref="E728" r:id="rId277" xr:uid="{00000000-0004-0000-0000-000014010000}"/>
    <hyperlink ref="E727" r:id="rId278" xr:uid="{00000000-0004-0000-0000-000015010000}"/>
    <hyperlink ref="E726" r:id="rId279" xr:uid="{00000000-0004-0000-0000-000016010000}"/>
    <hyperlink ref="E725" r:id="rId280" xr:uid="{00000000-0004-0000-0000-000017010000}"/>
    <hyperlink ref="E724" r:id="rId281" xr:uid="{00000000-0004-0000-0000-000018010000}"/>
    <hyperlink ref="E723" r:id="rId282" xr:uid="{00000000-0004-0000-0000-000019010000}"/>
    <hyperlink ref="E722" r:id="rId283" xr:uid="{00000000-0004-0000-0000-00001A010000}"/>
    <hyperlink ref="E721" r:id="rId284" xr:uid="{00000000-0004-0000-0000-00001B010000}"/>
    <hyperlink ref="E720" r:id="rId285" xr:uid="{00000000-0004-0000-0000-00001C010000}"/>
    <hyperlink ref="E719" r:id="rId286" xr:uid="{00000000-0004-0000-0000-00001D010000}"/>
    <hyperlink ref="E718" r:id="rId287" xr:uid="{00000000-0004-0000-0000-00001E010000}"/>
    <hyperlink ref="E717" r:id="rId288" xr:uid="{00000000-0004-0000-0000-00001F010000}"/>
    <hyperlink ref="E716" r:id="rId289" xr:uid="{00000000-0004-0000-0000-000020010000}"/>
    <hyperlink ref="E715" r:id="rId290" xr:uid="{00000000-0004-0000-0000-000021010000}"/>
    <hyperlink ref="E714" r:id="rId291" xr:uid="{00000000-0004-0000-0000-000022010000}"/>
    <hyperlink ref="E713" r:id="rId292" xr:uid="{00000000-0004-0000-0000-000023010000}"/>
    <hyperlink ref="E712" r:id="rId293" xr:uid="{00000000-0004-0000-0000-000024010000}"/>
    <hyperlink ref="E711" r:id="rId294" xr:uid="{00000000-0004-0000-0000-000025010000}"/>
    <hyperlink ref="E710" r:id="rId295" xr:uid="{00000000-0004-0000-0000-000026010000}"/>
    <hyperlink ref="E709" r:id="rId296" xr:uid="{00000000-0004-0000-0000-000027010000}"/>
    <hyperlink ref="E708" r:id="rId297" xr:uid="{00000000-0004-0000-0000-000028010000}"/>
    <hyperlink ref="E707" r:id="rId298" xr:uid="{00000000-0004-0000-0000-000029010000}"/>
    <hyperlink ref="E706" r:id="rId299" xr:uid="{00000000-0004-0000-0000-00002A010000}"/>
    <hyperlink ref="E705" r:id="rId300" xr:uid="{00000000-0004-0000-0000-00002B010000}"/>
    <hyperlink ref="E704" r:id="rId301" xr:uid="{00000000-0004-0000-0000-00002C010000}"/>
    <hyperlink ref="E703" r:id="rId302" xr:uid="{00000000-0004-0000-0000-00002D010000}"/>
    <hyperlink ref="E702" r:id="rId303" xr:uid="{00000000-0004-0000-0000-00002E010000}"/>
    <hyperlink ref="E701" r:id="rId304" xr:uid="{00000000-0004-0000-0000-00002F010000}"/>
    <hyperlink ref="E700" r:id="rId305" xr:uid="{00000000-0004-0000-0000-000030010000}"/>
    <hyperlink ref="E699" r:id="rId306" xr:uid="{00000000-0004-0000-0000-000031010000}"/>
    <hyperlink ref="E698" r:id="rId307" xr:uid="{00000000-0004-0000-0000-000032010000}"/>
    <hyperlink ref="E697" r:id="rId308" xr:uid="{00000000-0004-0000-0000-000033010000}"/>
    <hyperlink ref="E696" r:id="rId309" xr:uid="{00000000-0004-0000-0000-000034010000}"/>
    <hyperlink ref="E695" r:id="rId310" xr:uid="{00000000-0004-0000-0000-000035010000}"/>
    <hyperlink ref="E694" r:id="rId311" xr:uid="{00000000-0004-0000-0000-000036010000}"/>
    <hyperlink ref="E693" r:id="rId312" xr:uid="{00000000-0004-0000-0000-000037010000}"/>
    <hyperlink ref="E692" r:id="rId313" xr:uid="{00000000-0004-0000-0000-000038010000}"/>
    <hyperlink ref="E691" r:id="rId314" xr:uid="{00000000-0004-0000-0000-000039010000}"/>
    <hyperlink ref="E690" r:id="rId315" xr:uid="{00000000-0004-0000-0000-00003A010000}"/>
    <hyperlink ref="E689" r:id="rId316" xr:uid="{00000000-0004-0000-0000-00003B010000}"/>
    <hyperlink ref="E688" r:id="rId317" xr:uid="{00000000-0004-0000-0000-00003C010000}"/>
    <hyperlink ref="E687" r:id="rId318" xr:uid="{00000000-0004-0000-0000-00003D010000}"/>
    <hyperlink ref="E686" r:id="rId319" xr:uid="{00000000-0004-0000-0000-00003E010000}"/>
    <hyperlink ref="E684" r:id="rId320" xr:uid="{00000000-0004-0000-0000-00003F010000}"/>
    <hyperlink ref="E683" r:id="rId321" xr:uid="{00000000-0004-0000-0000-000040010000}"/>
    <hyperlink ref="E682" r:id="rId322" xr:uid="{00000000-0004-0000-0000-000041010000}"/>
    <hyperlink ref="E681" r:id="rId323" xr:uid="{00000000-0004-0000-0000-000042010000}"/>
    <hyperlink ref="E680" r:id="rId324" xr:uid="{00000000-0004-0000-0000-000043010000}"/>
    <hyperlink ref="E679" r:id="rId325" xr:uid="{00000000-0004-0000-0000-000044010000}"/>
    <hyperlink ref="E678" r:id="rId326" xr:uid="{00000000-0004-0000-0000-000045010000}"/>
    <hyperlink ref="E677" r:id="rId327" xr:uid="{00000000-0004-0000-0000-000046010000}"/>
    <hyperlink ref="E676" r:id="rId328" xr:uid="{00000000-0004-0000-0000-000047010000}"/>
    <hyperlink ref="E675" r:id="rId329" xr:uid="{00000000-0004-0000-0000-000048010000}"/>
    <hyperlink ref="E674" r:id="rId330" xr:uid="{00000000-0004-0000-0000-000049010000}"/>
    <hyperlink ref="E673" r:id="rId331" xr:uid="{00000000-0004-0000-0000-00004A010000}"/>
    <hyperlink ref="E672" r:id="rId332" xr:uid="{00000000-0004-0000-0000-00004B010000}"/>
    <hyperlink ref="E671" r:id="rId333" xr:uid="{00000000-0004-0000-0000-00004C010000}"/>
    <hyperlink ref="E670" r:id="rId334" xr:uid="{00000000-0004-0000-0000-00004D010000}"/>
    <hyperlink ref="E669" r:id="rId335" xr:uid="{00000000-0004-0000-0000-00004E010000}"/>
    <hyperlink ref="E668" r:id="rId336" xr:uid="{00000000-0004-0000-0000-00004F010000}"/>
    <hyperlink ref="E667" r:id="rId337" xr:uid="{00000000-0004-0000-0000-000050010000}"/>
    <hyperlink ref="E666" r:id="rId338" xr:uid="{00000000-0004-0000-0000-000051010000}"/>
    <hyperlink ref="E665" r:id="rId339" xr:uid="{00000000-0004-0000-0000-000052010000}"/>
    <hyperlink ref="E664" r:id="rId340" xr:uid="{00000000-0004-0000-0000-000053010000}"/>
    <hyperlink ref="E663" r:id="rId341" xr:uid="{00000000-0004-0000-0000-000054010000}"/>
    <hyperlink ref="E662" r:id="rId342" xr:uid="{00000000-0004-0000-0000-000055010000}"/>
    <hyperlink ref="E661" r:id="rId343" xr:uid="{00000000-0004-0000-0000-000056010000}"/>
    <hyperlink ref="E660" r:id="rId344" xr:uid="{00000000-0004-0000-0000-000057010000}"/>
    <hyperlink ref="E659" r:id="rId345" xr:uid="{00000000-0004-0000-0000-000058010000}"/>
    <hyperlink ref="E658" r:id="rId346" xr:uid="{00000000-0004-0000-0000-000059010000}"/>
    <hyperlink ref="E657" r:id="rId347" xr:uid="{00000000-0004-0000-0000-00005A010000}"/>
    <hyperlink ref="E656" r:id="rId348" xr:uid="{00000000-0004-0000-0000-00005B010000}"/>
    <hyperlink ref="E655" r:id="rId349" xr:uid="{00000000-0004-0000-0000-00005C010000}"/>
    <hyperlink ref="E654" r:id="rId350" xr:uid="{00000000-0004-0000-0000-00005D010000}"/>
    <hyperlink ref="E653" r:id="rId351" xr:uid="{00000000-0004-0000-0000-00005E010000}"/>
    <hyperlink ref="E651" r:id="rId352" xr:uid="{00000000-0004-0000-0000-00005F010000}"/>
    <hyperlink ref="E652" r:id="rId353" xr:uid="{00000000-0004-0000-0000-000060010000}"/>
    <hyperlink ref="E650" r:id="rId354" xr:uid="{00000000-0004-0000-0000-000061010000}"/>
    <hyperlink ref="E649" r:id="rId355" xr:uid="{00000000-0004-0000-0000-000062010000}"/>
    <hyperlink ref="E648" r:id="rId356" xr:uid="{00000000-0004-0000-0000-000063010000}"/>
    <hyperlink ref="E647" r:id="rId357" xr:uid="{00000000-0004-0000-0000-000064010000}"/>
    <hyperlink ref="E646" r:id="rId358" xr:uid="{00000000-0004-0000-0000-000065010000}"/>
    <hyperlink ref="E645" r:id="rId359" xr:uid="{00000000-0004-0000-0000-000066010000}"/>
    <hyperlink ref="E644" r:id="rId360" xr:uid="{00000000-0004-0000-0000-000067010000}"/>
    <hyperlink ref="E643" r:id="rId361" xr:uid="{00000000-0004-0000-0000-000068010000}"/>
    <hyperlink ref="E642" r:id="rId362" xr:uid="{00000000-0004-0000-0000-000069010000}"/>
    <hyperlink ref="E641" r:id="rId363" xr:uid="{00000000-0004-0000-0000-00006A010000}"/>
    <hyperlink ref="E640" r:id="rId364" xr:uid="{00000000-0004-0000-0000-00006B010000}"/>
    <hyperlink ref="E639" r:id="rId365" xr:uid="{00000000-0004-0000-0000-00006C010000}"/>
    <hyperlink ref="E638" r:id="rId366" xr:uid="{00000000-0004-0000-0000-00006D010000}"/>
    <hyperlink ref="E637" r:id="rId367" xr:uid="{00000000-0004-0000-0000-00006E010000}"/>
    <hyperlink ref="E636" r:id="rId368" xr:uid="{00000000-0004-0000-0000-00006F010000}"/>
    <hyperlink ref="E635" r:id="rId369" xr:uid="{00000000-0004-0000-0000-000070010000}"/>
    <hyperlink ref="E634" r:id="rId370" xr:uid="{00000000-0004-0000-0000-000071010000}"/>
    <hyperlink ref="E633" r:id="rId371" xr:uid="{00000000-0004-0000-0000-000072010000}"/>
    <hyperlink ref="E632" r:id="rId372" xr:uid="{00000000-0004-0000-0000-000073010000}"/>
    <hyperlink ref="E631" r:id="rId373" xr:uid="{00000000-0004-0000-0000-000074010000}"/>
    <hyperlink ref="E629" r:id="rId374" xr:uid="{00000000-0004-0000-0000-000075010000}"/>
    <hyperlink ref="E630" r:id="rId375" xr:uid="{00000000-0004-0000-0000-000076010000}"/>
    <hyperlink ref="E627" r:id="rId376" xr:uid="{00000000-0004-0000-0000-000077010000}"/>
    <hyperlink ref="E628" r:id="rId377" xr:uid="{00000000-0004-0000-0000-000078010000}"/>
    <hyperlink ref="E626" r:id="rId378" xr:uid="{00000000-0004-0000-0000-000079010000}"/>
    <hyperlink ref="E625" r:id="rId379" xr:uid="{00000000-0004-0000-0000-00007A010000}"/>
    <hyperlink ref="E623" r:id="rId380" xr:uid="{00000000-0004-0000-0000-00007B010000}"/>
    <hyperlink ref="E624" r:id="rId381" xr:uid="{00000000-0004-0000-0000-00007C010000}"/>
    <hyperlink ref="E622" r:id="rId382" xr:uid="{00000000-0004-0000-0000-00007D010000}"/>
    <hyperlink ref="E621" r:id="rId383" xr:uid="{00000000-0004-0000-0000-00007E010000}"/>
    <hyperlink ref="E619" r:id="rId384" xr:uid="{00000000-0004-0000-0000-00007F010000}"/>
    <hyperlink ref="E617" r:id="rId385" xr:uid="{00000000-0004-0000-0000-000080010000}"/>
    <hyperlink ref="E618" r:id="rId386" xr:uid="{00000000-0004-0000-0000-000081010000}"/>
    <hyperlink ref="E615" r:id="rId387" xr:uid="{00000000-0004-0000-0000-000082010000}"/>
    <hyperlink ref="E614" r:id="rId388" xr:uid="{00000000-0004-0000-0000-000083010000}"/>
    <hyperlink ref="E613" r:id="rId389" xr:uid="{00000000-0004-0000-0000-000084010000}"/>
    <hyperlink ref="E612" r:id="rId390" xr:uid="{00000000-0004-0000-0000-000085010000}"/>
    <hyperlink ref="E611" r:id="rId391" xr:uid="{00000000-0004-0000-0000-000086010000}"/>
    <hyperlink ref="E610" r:id="rId392" xr:uid="{00000000-0004-0000-0000-000087010000}"/>
    <hyperlink ref="E609" r:id="rId393" xr:uid="{00000000-0004-0000-0000-000088010000}"/>
    <hyperlink ref="E608" r:id="rId394" xr:uid="{00000000-0004-0000-0000-000089010000}"/>
    <hyperlink ref="E607" r:id="rId395" xr:uid="{00000000-0004-0000-0000-00008A010000}"/>
    <hyperlink ref="E606" r:id="rId396" xr:uid="{00000000-0004-0000-0000-00008B010000}"/>
    <hyperlink ref="E605" r:id="rId397" xr:uid="{00000000-0004-0000-0000-00008C010000}"/>
    <hyperlink ref="E604" r:id="rId398" xr:uid="{00000000-0004-0000-0000-00008D010000}"/>
    <hyperlink ref="E603" r:id="rId399" xr:uid="{00000000-0004-0000-0000-00008E010000}"/>
    <hyperlink ref="E602" r:id="rId400" xr:uid="{00000000-0004-0000-0000-00008F010000}"/>
    <hyperlink ref="E601" r:id="rId401" xr:uid="{00000000-0004-0000-0000-000090010000}"/>
    <hyperlink ref="E600" r:id="rId402" xr:uid="{00000000-0004-0000-0000-000091010000}"/>
    <hyperlink ref="E599" r:id="rId403" xr:uid="{00000000-0004-0000-0000-000092010000}"/>
    <hyperlink ref="E598" r:id="rId404" xr:uid="{00000000-0004-0000-0000-000093010000}"/>
    <hyperlink ref="E597" r:id="rId405" xr:uid="{00000000-0004-0000-0000-000094010000}"/>
    <hyperlink ref="E596" r:id="rId406" xr:uid="{00000000-0004-0000-0000-000095010000}"/>
    <hyperlink ref="E595" r:id="rId407" xr:uid="{00000000-0004-0000-0000-000096010000}"/>
    <hyperlink ref="E594" r:id="rId408" xr:uid="{00000000-0004-0000-0000-000097010000}"/>
    <hyperlink ref="E593" r:id="rId409" xr:uid="{00000000-0004-0000-0000-000098010000}"/>
    <hyperlink ref="E592" r:id="rId410" xr:uid="{00000000-0004-0000-0000-000099010000}"/>
    <hyperlink ref="E591" r:id="rId411" xr:uid="{00000000-0004-0000-0000-00009A010000}"/>
    <hyperlink ref="E590" r:id="rId412" xr:uid="{00000000-0004-0000-0000-00009B010000}"/>
    <hyperlink ref="E589" r:id="rId413" xr:uid="{00000000-0004-0000-0000-00009C010000}"/>
    <hyperlink ref="E588" r:id="rId414" xr:uid="{00000000-0004-0000-0000-00009D010000}"/>
    <hyperlink ref="E587" r:id="rId415" xr:uid="{00000000-0004-0000-0000-00009E010000}"/>
    <hyperlink ref="E585" r:id="rId416" xr:uid="{00000000-0004-0000-0000-00009F010000}"/>
    <hyperlink ref="E586" r:id="rId417" xr:uid="{00000000-0004-0000-0000-0000A0010000}"/>
    <hyperlink ref="E584" r:id="rId418" xr:uid="{00000000-0004-0000-0000-0000A1010000}"/>
    <hyperlink ref="E583" r:id="rId419" xr:uid="{00000000-0004-0000-0000-0000A2010000}"/>
    <hyperlink ref="E582" r:id="rId420" xr:uid="{00000000-0004-0000-0000-0000A3010000}"/>
    <hyperlink ref="E581" r:id="rId421" xr:uid="{00000000-0004-0000-0000-0000A4010000}"/>
    <hyperlink ref="E580" r:id="rId422" xr:uid="{00000000-0004-0000-0000-0000A5010000}"/>
    <hyperlink ref="E579" r:id="rId423" xr:uid="{00000000-0004-0000-0000-0000A6010000}"/>
    <hyperlink ref="E578" r:id="rId424" xr:uid="{00000000-0004-0000-0000-0000A7010000}"/>
    <hyperlink ref="E577" r:id="rId425" xr:uid="{00000000-0004-0000-0000-0000A8010000}"/>
    <hyperlink ref="E576" r:id="rId426" xr:uid="{00000000-0004-0000-0000-0000A9010000}"/>
    <hyperlink ref="E575" r:id="rId427" xr:uid="{00000000-0004-0000-0000-0000AA010000}"/>
    <hyperlink ref="E574" r:id="rId428" xr:uid="{00000000-0004-0000-0000-0000AB010000}"/>
    <hyperlink ref="E573" r:id="rId429" xr:uid="{00000000-0004-0000-0000-0000AC010000}"/>
    <hyperlink ref="E572" r:id="rId430" xr:uid="{00000000-0004-0000-0000-0000AD010000}"/>
    <hyperlink ref="E571" r:id="rId431" xr:uid="{00000000-0004-0000-0000-0000AE010000}"/>
    <hyperlink ref="E570" r:id="rId432" xr:uid="{00000000-0004-0000-0000-0000AF010000}"/>
    <hyperlink ref="E569" r:id="rId433" xr:uid="{00000000-0004-0000-0000-0000B0010000}"/>
    <hyperlink ref="E568" r:id="rId434" xr:uid="{00000000-0004-0000-0000-0000B1010000}"/>
    <hyperlink ref="E567" r:id="rId435" xr:uid="{00000000-0004-0000-0000-0000B2010000}"/>
    <hyperlink ref="E566" r:id="rId436" xr:uid="{00000000-0004-0000-0000-0000B3010000}"/>
    <hyperlink ref="E564" r:id="rId437" xr:uid="{00000000-0004-0000-0000-0000B4010000}"/>
    <hyperlink ref="E563" r:id="rId438" xr:uid="{00000000-0004-0000-0000-0000B5010000}"/>
    <hyperlink ref="E562" r:id="rId439" xr:uid="{00000000-0004-0000-0000-0000B6010000}"/>
    <hyperlink ref="E561" r:id="rId440" xr:uid="{00000000-0004-0000-0000-0000B7010000}"/>
    <hyperlink ref="E560" r:id="rId441" xr:uid="{00000000-0004-0000-0000-0000B8010000}"/>
    <hyperlink ref="E559" r:id="rId442" xr:uid="{00000000-0004-0000-0000-0000B9010000}"/>
    <hyperlink ref="E558" r:id="rId443" xr:uid="{00000000-0004-0000-0000-0000BA010000}"/>
    <hyperlink ref="E557" r:id="rId444" xr:uid="{00000000-0004-0000-0000-0000BB010000}"/>
    <hyperlink ref="E556" r:id="rId445" xr:uid="{00000000-0004-0000-0000-0000BC010000}"/>
    <hyperlink ref="E555" r:id="rId446" xr:uid="{00000000-0004-0000-0000-0000BD010000}"/>
    <hyperlink ref="E554" r:id="rId447" xr:uid="{00000000-0004-0000-0000-0000BE010000}"/>
    <hyperlink ref="E553" r:id="rId448" xr:uid="{00000000-0004-0000-0000-0000BF010000}"/>
    <hyperlink ref="E552" r:id="rId449" xr:uid="{00000000-0004-0000-0000-0000C0010000}"/>
    <hyperlink ref="E551" r:id="rId450" xr:uid="{00000000-0004-0000-0000-0000C1010000}"/>
    <hyperlink ref="E550" r:id="rId451" xr:uid="{00000000-0004-0000-0000-0000C2010000}"/>
    <hyperlink ref="E549" r:id="rId452" xr:uid="{00000000-0004-0000-0000-0000C3010000}"/>
    <hyperlink ref="E548" r:id="rId453" xr:uid="{00000000-0004-0000-0000-0000C4010000}"/>
    <hyperlink ref="E547" r:id="rId454" xr:uid="{00000000-0004-0000-0000-0000C5010000}"/>
    <hyperlink ref="E546" r:id="rId455" xr:uid="{00000000-0004-0000-0000-0000C6010000}"/>
    <hyperlink ref="E545" r:id="rId456" xr:uid="{00000000-0004-0000-0000-0000C7010000}"/>
    <hyperlink ref="E544" r:id="rId457" xr:uid="{00000000-0004-0000-0000-0000C8010000}"/>
    <hyperlink ref="E543" r:id="rId458" xr:uid="{00000000-0004-0000-0000-0000C9010000}"/>
    <hyperlink ref="E542" r:id="rId459" xr:uid="{00000000-0004-0000-0000-0000CA010000}"/>
    <hyperlink ref="E541" r:id="rId460" xr:uid="{00000000-0004-0000-0000-0000CB010000}"/>
    <hyperlink ref="E540" r:id="rId461" xr:uid="{00000000-0004-0000-0000-0000CC010000}"/>
    <hyperlink ref="E537" r:id="rId462" xr:uid="{00000000-0004-0000-0000-0000CD010000}"/>
    <hyperlink ref="E538" r:id="rId463" xr:uid="{00000000-0004-0000-0000-0000CE010000}"/>
    <hyperlink ref="E535" r:id="rId464" xr:uid="{00000000-0004-0000-0000-0000CF010000}"/>
    <hyperlink ref="E536" r:id="rId465" xr:uid="{00000000-0004-0000-0000-0000D0010000}"/>
    <hyperlink ref="E534" r:id="rId466" xr:uid="{00000000-0004-0000-0000-0000D1010000}"/>
    <hyperlink ref="E533" r:id="rId467" xr:uid="{00000000-0004-0000-0000-0000D2010000}"/>
    <hyperlink ref="E532" r:id="rId468" xr:uid="{00000000-0004-0000-0000-0000D3010000}"/>
    <hyperlink ref="E531" r:id="rId469" xr:uid="{00000000-0004-0000-0000-0000D4010000}"/>
    <hyperlink ref="E530" r:id="rId470" xr:uid="{00000000-0004-0000-0000-0000D5010000}"/>
    <hyperlink ref="E529" r:id="rId471" xr:uid="{00000000-0004-0000-0000-0000D6010000}"/>
    <hyperlink ref="E528" r:id="rId472" xr:uid="{00000000-0004-0000-0000-0000D7010000}"/>
    <hyperlink ref="E526" r:id="rId473" xr:uid="{00000000-0004-0000-0000-0000D8010000}"/>
    <hyperlink ref="E525" r:id="rId474" xr:uid="{00000000-0004-0000-0000-0000D9010000}"/>
    <hyperlink ref="E524" r:id="rId475" xr:uid="{00000000-0004-0000-0000-0000DA010000}"/>
    <hyperlink ref="E523" r:id="rId476" xr:uid="{00000000-0004-0000-0000-0000DB010000}"/>
    <hyperlink ref="E522" r:id="rId477" xr:uid="{00000000-0004-0000-0000-0000DC010000}"/>
    <hyperlink ref="E521" r:id="rId478" xr:uid="{00000000-0004-0000-0000-0000DD010000}"/>
    <hyperlink ref="E520" r:id="rId479" xr:uid="{00000000-0004-0000-0000-0000DE010000}"/>
    <hyperlink ref="E519" r:id="rId480" xr:uid="{00000000-0004-0000-0000-0000DF010000}"/>
    <hyperlink ref="E518" r:id="rId481" xr:uid="{00000000-0004-0000-0000-0000E0010000}"/>
    <hyperlink ref="E517" r:id="rId482" xr:uid="{00000000-0004-0000-0000-0000E1010000}"/>
    <hyperlink ref="E516" r:id="rId483" xr:uid="{00000000-0004-0000-0000-0000E2010000}"/>
    <hyperlink ref="E515" r:id="rId484" xr:uid="{00000000-0004-0000-0000-0000E3010000}"/>
    <hyperlink ref="E514" r:id="rId485" xr:uid="{00000000-0004-0000-0000-0000E4010000}"/>
    <hyperlink ref="E513" r:id="rId486" xr:uid="{00000000-0004-0000-0000-0000E5010000}"/>
    <hyperlink ref="E512" r:id="rId487" xr:uid="{00000000-0004-0000-0000-0000E6010000}"/>
    <hyperlink ref="E511" r:id="rId488" xr:uid="{00000000-0004-0000-0000-0000E7010000}"/>
    <hyperlink ref="E510" r:id="rId489" xr:uid="{00000000-0004-0000-0000-0000E8010000}"/>
    <hyperlink ref="E509" r:id="rId490" xr:uid="{00000000-0004-0000-0000-0000E9010000}"/>
    <hyperlink ref="E508" r:id="rId491" xr:uid="{00000000-0004-0000-0000-0000EA010000}"/>
    <hyperlink ref="E507" r:id="rId492" xr:uid="{00000000-0004-0000-0000-0000EB010000}"/>
    <hyperlink ref="E506" r:id="rId493" xr:uid="{00000000-0004-0000-0000-0000EC010000}"/>
    <hyperlink ref="E505" r:id="rId494" xr:uid="{00000000-0004-0000-0000-0000ED010000}"/>
    <hyperlink ref="E504" r:id="rId495" xr:uid="{00000000-0004-0000-0000-0000EE010000}"/>
    <hyperlink ref="E503" r:id="rId496" xr:uid="{00000000-0004-0000-0000-0000EF010000}"/>
    <hyperlink ref="E502" r:id="rId497" xr:uid="{00000000-0004-0000-0000-0000F0010000}"/>
    <hyperlink ref="E500" r:id="rId498" xr:uid="{00000000-0004-0000-0000-0000F1010000}"/>
    <hyperlink ref="E499" r:id="rId499" xr:uid="{00000000-0004-0000-0000-0000F2010000}"/>
    <hyperlink ref="E498" r:id="rId500" xr:uid="{00000000-0004-0000-0000-0000F3010000}"/>
    <hyperlink ref="E497" r:id="rId501" xr:uid="{00000000-0004-0000-0000-0000F4010000}"/>
    <hyperlink ref="E496" r:id="rId502" xr:uid="{00000000-0004-0000-0000-0000F5010000}"/>
    <hyperlink ref="E495" r:id="rId503" xr:uid="{00000000-0004-0000-0000-0000F6010000}"/>
    <hyperlink ref="E494" r:id="rId504" xr:uid="{00000000-0004-0000-0000-0000F7010000}"/>
    <hyperlink ref="E492" r:id="rId505" xr:uid="{00000000-0004-0000-0000-0000F8010000}"/>
    <hyperlink ref="E493" r:id="rId506" xr:uid="{00000000-0004-0000-0000-0000F9010000}"/>
    <hyperlink ref="E491" r:id="rId507" xr:uid="{00000000-0004-0000-0000-0000FA010000}"/>
    <hyperlink ref="E489" r:id="rId508" xr:uid="{00000000-0004-0000-0000-0000FB010000}"/>
    <hyperlink ref="E488" r:id="rId509" xr:uid="{00000000-0004-0000-0000-0000FC010000}"/>
    <hyperlink ref="E487" r:id="rId510" xr:uid="{00000000-0004-0000-0000-0000FD010000}"/>
    <hyperlink ref="E486" r:id="rId511" xr:uid="{00000000-0004-0000-0000-0000FE010000}"/>
    <hyperlink ref="E485" r:id="rId512" xr:uid="{00000000-0004-0000-0000-0000FF010000}"/>
    <hyperlink ref="E484" r:id="rId513" xr:uid="{00000000-0004-0000-0000-000000020000}"/>
    <hyperlink ref="E483" r:id="rId514" xr:uid="{00000000-0004-0000-0000-000001020000}"/>
    <hyperlink ref="E482" r:id="rId515" xr:uid="{00000000-0004-0000-0000-000002020000}"/>
    <hyperlink ref="E481" r:id="rId516" xr:uid="{00000000-0004-0000-0000-000003020000}"/>
    <hyperlink ref="E480" r:id="rId517" xr:uid="{00000000-0004-0000-0000-000004020000}"/>
    <hyperlink ref="E479" r:id="rId518" xr:uid="{00000000-0004-0000-0000-000005020000}"/>
    <hyperlink ref="E478" r:id="rId519" xr:uid="{00000000-0004-0000-0000-000006020000}"/>
    <hyperlink ref="E477" r:id="rId520" xr:uid="{00000000-0004-0000-0000-000007020000}"/>
    <hyperlink ref="E476" r:id="rId521" xr:uid="{00000000-0004-0000-0000-000008020000}"/>
    <hyperlink ref="E475" r:id="rId522" xr:uid="{00000000-0004-0000-0000-000009020000}"/>
    <hyperlink ref="E474" r:id="rId523" xr:uid="{00000000-0004-0000-0000-00000A020000}"/>
    <hyperlink ref="E473" r:id="rId524" xr:uid="{00000000-0004-0000-0000-00000B020000}"/>
    <hyperlink ref="E472" r:id="rId525" xr:uid="{00000000-0004-0000-0000-00000C020000}"/>
    <hyperlink ref="E471" r:id="rId526" xr:uid="{00000000-0004-0000-0000-00000D020000}"/>
    <hyperlink ref="E469" r:id="rId527" xr:uid="{00000000-0004-0000-0000-00000E020000}"/>
    <hyperlink ref="E470" r:id="rId528" xr:uid="{00000000-0004-0000-0000-00000F020000}"/>
    <hyperlink ref="E468" r:id="rId529" xr:uid="{00000000-0004-0000-0000-000010020000}"/>
    <hyperlink ref="E467" r:id="rId530" xr:uid="{00000000-0004-0000-0000-000011020000}"/>
    <hyperlink ref="E466" r:id="rId531" xr:uid="{00000000-0004-0000-0000-000012020000}"/>
    <hyperlink ref="E465" r:id="rId532" xr:uid="{00000000-0004-0000-0000-000013020000}"/>
    <hyperlink ref="E464" r:id="rId533" xr:uid="{00000000-0004-0000-0000-000014020000}"/>
    <hyperlink ref="E463" r:id="rId534" xr:uid="{00000000-0004-0000-0000-000015020000}"/>
    <hyperlink ref="E462" r:id="rId535" xr:uid="{00000000-0004-0000-0000-000016020000}"/>
    <hyperlink ref="E461" r:id="rId536" xr:uid="{00000000-0004-0000-0000-000017020000}"/>
    <hyperlink ref="E459" r:id="rId537" xr:uid="{00000000-0004-0000-0000-000018020000}"/>
    <hyperlink ref="E460" r:id="rId538" xr:uid="{00000000-0004-0000-0000-000019020000}"/>
    <hyperlink ref="E458" r:id="rId539" xr:uid="{00000000-0004-0000-0000-00001A020000}"/>
    <hyperlink ref="E457" r:id="rId540" xr:uid="{00000000-0004-0000-0000-00001B020000}"/>
    <hyperlink ref="E456" r:id="rId541" xr:uid="{00000000-0004-0000-0000-00001C020000}"/>
    <hyperlink ref="E455" r:id="rId542" xr:uid="{00000000-0004-0000-0000-00001D020000}"/>
    <hyperlink ref="E453" r:id="rId543" xr:uid="{00000000-0004-0000-0000-00001E020000}"/>
    <hyperlink ref="E452" r:id="rId544" xr:uid="{00000000-0004-0000-0000-00001F020000}"/>
    <hyperlink ref="E450" r:id="rId545" xr:uid="{00000000-0004-0000-0000-000020020000}"/>
    <hyperlink ref="E449" r:id="rId546" xr:uid="{00000000-0004-0000-0000-000021020000}"/>
    <hyperlink ref="E448" r:id="rId547" xr:uid="{00000000-0004-0000-0000-000022020000}"/>
    <hyperlink ref="E447" r:id="rId548" xr:uid="{00000000-0004-0000-0000-000023020000}"/>
    <hyperlink ref="E446" r:id="rId549" xr:uid="{00000000-0004-0000-0000-000024020000}"/>
    <hyperlink ref="E445" r:id="rId550" xr:uid="{00000000-0004-0000-0000-000025020000}"/>
    <hyperlink ref="E444" r:id="rId551" xr:uid="{00000000-0004-0000-0000-000026020000}"/>
    <hyperlink ref="E443" r:id="rId552" xr:uid="{00000000-0004-0000-0000-000027020000}"/>
    <hyperlink ref="E442" r:id="rId553" xr:uid="{00000000-0004-0000-0000-000028020000}"/>
    <hyperlink ref="E441" r:id="rId554" xr:uid="{00000000-0004-0000-0000-000029020000}"/>
    <hyperlink ref="E440" r:id="rId555" xr:uid="{00000000-0004-0000-0000-00002A020000}"/>
    <hyperlink ref="E439" r:id="rId556" xr:uid="{00000000-0004-0000-0000-00002B020000}"/>
    <hyperlink ref="E438" r:id="rId557" xr:uid="{00000000-0004-0000-0000-00002C020000}"/>
    <hyperlink ref="E436" r:id="rId558" xr:uid="{00000000-0004-0000-0000-00002D020000}"/>
    <hyperlink ref="E435" r:id="rId559" xr:uid="{00000000-0004-0000-0000-00002E020000}"/>
    <hyperlink ref="E433" r:id="rId560" xr:uid="{00000000-0004-0000-0000-00002F020000}"/>
    <hyperlink ref="E432" r:id="rId561" xr:uid="{00000000-0004-0000-0000-000030020000}"/>
    <hyperlink ref="E431" r:id="rId562" xr:uid="{00000000-0004-0000-0000-000031020000}"/>
    <hyperlink ref="E430" r:id="rId563" xr:uid="{00000000-0004-0000-0000-000032020000}"/>
    <hyperlink ref="E429" r:id="rId564" xr:uid="{00000000-0004-0000-0000-000033020000}"/>
    <hyperlink ref="E428" r:id="rId565" xr:uid="{00000000-0004-0000-0000-000034020000}"/>
    <hyperlink ref="E427" r:id="rId566" xr:uid="{00000000-0004-0000-0000-000035020000}"/>
    <hyperlink ref="E426" r:id="rId567" xr:uid="{00000000-0004-0000-0000-000036020000}"/>
    <hyperlink ref="E425" r:id="rId568" xr:uid="{00000000-0004-0000-0000-000037020000}"/>
    <hyperlink ref="E424" r:id="rId569" xr:uid="{00000000-0004-0000-0000-000038020000}"/>
    <hyperlink ref="E423" r:id="rId570" xr:uid="{00000000-0004-0000-0000-000039020000}"/>
    <hyperlink ref="E422" r:id="rId571" xr:uid="{00000000-0004-0000-0000-00003A020000}"/>
    <hyperlink ref="E419" r:id="rId572" xr:uid="{00000000-0004-0000-0000-00003B020000}"/>
    <hyperlink ref="E420" r:id="rId573" xr:uid="{00000000-0004-0000-0000-00003C020000}"/>
    <hyperlink ref="E421" r:id="rId574" xr:uid="{00000000-0004-0000-0000-00003D020000}"/>
    <hyperlink ref="E417" r:id="rId575" xr:uid="{00000000-0004-0000-0000-00003E020000}"/>
    <hyperlink ref="E418" r:id="rId576" xr:uid="{00000000-0004-0000-0000-00003F020000}"/>
    <hyperlink ref="E416" r:id="rId577" xr:uid="{00000000-0004-0000-0000-000040020000}"/>
    <hyperlink ref="E415" r:id="rId578" xr:uid="{00000000-0004-0000-0000-000041020000}"/>
    <hyperlink ref="E413" r:id="rId579" xr:uid="{00000000-0004-0000-0000-000042020000}"/>
    <hyperlink ref="E412" r:id="rId580" xr:uid="{00000000-0004-0000-0000-000043020000}"/>
    <hyperlink ref="E411" r:id="rId581" xr:uid="{00000000-0004-0000-0000-000044020000}"/>
    <hyperlink ref="E410" r:id="rId582" xr:uid="{00000000-0004-0000-0000-000045020000}"/>
    <hyperlink ref="E409" r:id="rId583" xr:uid="{00000000-0004-0000-0000-000046020000}"/>
    <hyperlink ref="E408" r:id="rId584" xr:uid="{00000000-0004-0000-0000-000047020000}"/>
    <hyperlink ref="E407" r:id="rId585" xr:uid="{00000000-0004-0000-0000-000048020000}"/>
    <hyperlink ref="E406" r:id="rId586" xr:uid="{00000000-0004-0000-0000-000049020000}"/>
    <hyperlink ref="E405" r:id="rId587" xr:uid="{00000000-0004-0000-0000-00004A020000}"/>
    <hyperlink ref="E404" r:id="rId588" xr:uid="{00000000-0004-0000-0000-00004B020000}"/>
    <hyperlink ref="E403" r:id="rId589" xr:uid="{00000000-0004-0000-0000-00004C020000}"/>
    <hyperlink ref="E402" r:id="rId590" xr:uid="{00000000-0004-0000-0000-00004D020000}"/>
    <hyperlink ref="E401" r:id="rId591" xr:uid="{00000000-0004-0000-0000-00004E020000}"/>
    <hyperlink ref="E400" r:id="rId592" xr:uid="{00000000-0004-0000-0000-00004F020000}"/>
    <hyperlink ref="E399" r:id="rId593" xr:uid="{00000000-0004-0000-0000-000050020000}"/>
    <hyperlink ref="E398" r:id="rId594" xr:uid="{00000000-0004-0000-0000-000051020000}"/>
    <hyperlink ref="E397" r:id="rId595" xr:uid="{00000000-0004-0000-0000-000052020000}"/>
    <hyperlink ref="E396" r:id="rId596" xr:uid="{00000000-0004-0000-0000-000053020000}"/>
    <hyperlink ref="E395" r:id="rId597" xr:uid="{00000000-0004-0000-0000-000054020000}"/>
    <hyperlink ref="E394" r:id="rId598" xr:uid="{00000000-0004-0000-0000-000055020000}"/>
    <hyperlink ref="E393" r:id="rId599" xr:uid="{00000000-0004-0000-0000-000056020000}"/>
    <hyperlink ref="E392" r:id="rId600" xr:uid="{00000000-0004-0000-0000-000057020000}"/>
    <hyperlink ref="E391" r:id="rId601" xr:uid="{00000000-0004-0000-0000-000058020000}"/>
    <hyperlink ref="E390" r:id="rId602" xr:uid="{00000000-0004-0000-0000-000059020000}"/>
    <hyperlink ref="E389" r:id="rId603" xr:uid="{00000000-0004-0000-0000-00005A020000}"/>
    <hyperlink ref="E388" r:id="rId604" xr:uid="{00000000-0004-0000-0000-00005B020000}"/>
    <hyperlink ref="E387" r:id="rId605" xr:uid="{00000000-0004-0000-0000-00005C020000}"/>
    <hyperlink ref="E386" r:id="rId606" xr:uid="{00000000-0004-0000-0000-00005D020000}"/>
    <hyperlink ref="E385" r:id="rId607" xr:uid="{00000000-0004-0000-0000-00005E020000}"/>
    <hyperlink ref="E384" r:id="rId608" xr:uid="{00000000-0004-0000-0000-00005F020000}"/>
    <hyperlink ref="E383" r:id="rId609" xr:uid="{00000000-0004-0000-0000-000060020000}"/>
    <hyperlink ref="E382" r:id="rId610" xr:uid="{00000000-0004-0000-0000-000061020000}"/>
    <hyperlink ref="E381" r:id="rId611" xr:uid="{00000000-0004-0000-0000-000062020000}"/>
    <hyperlink ref="E380" r:id="rId612" xr:uid="{00000000-0004-0000-0000-000063020000}"/>
    <hyperlink ref="E379" r:id="rId613" xr:uid="{00000000-0004-0000-0000-000064020000}"/>
    <hyperlink ref="E378" r:id="rId614" xr:uid="{00000000-0004-0000-0000-000065020000}"/>
    <hyperlink ref="E377" r:id="rId615" xr:uid="{00000000-0004-0000-0000-000066020000}"/>
    <hyperlink ref="E376" r:id="rId616" xr:uid="{00000000-0004-0000-0000-000067020000}"/>
    <hyperlink ref="E375" r:id="rId617" xr:uid="{00000000-0004-0000-0000-000068020000}"/>
    <hyperlink ref="E374" r:id="rId618" xr:uid="{00000000-0004-0000-0000-000069020000}"/>
    <hyperlink ref="E373" r:id="rId619" xr:uid="{00000000-0004-0000-0000-00006A020000}"/>
    <hyperlink ref="E372" r:id="rId620" xr:uid="{00000000-0004-0000-0000-00006B020000}"/>
    <hyperlink ref="E371" r:id="rId621" xr:uid="{00000000-0004-0000-0000-00006C020000}"/>
    <hyperlink ref="E370" r:id="rId622" xr:uid="{00000000-0004-0000-0000-00006D020000}"/>
    <hyperlink ref="E369" r:id="rId623" xr:uid="{00000000-0004-0000-0000-00006E020000}"/>
    <hyperlink ref="E368" r:id="rId624" xr:uid="{00000000-0004-0000-0000-00006F020000}"/>
    <hyperlink ref="E367" r:id="rId625" xr:uid="{00000000-0004-0000-0000-000070020000}"/>
    <hyperlink ref="E366" r:id="rId626" xr:uid="{00000000-0004-0000-0000-000071020000}"/>
    <hyperlink ref="E365" r:id="rId627" xr:uid="{00000000-0004-0000-0000-000072020000}"/>
    <hyperlink ref="E364" r:id="rId628" xr:uid="{00000000-0004-0000-0000-000073020000}"/>
    <hyperlink ref="E363" r:id="rId629" xr:uid="{00000000-0004-0000-0000-000074020000}"/>
    <hyperlink ref="E362" r:id="rId630" xr:uid="{00000000-0004-0000-0000-000075020000}"/>
    <hyperlink ref="E361" r:id="rId631" xr:uid="{00000000-0004-0000-0000-000076020000}"/>
    <hyperlink ref="E360" r:id="rId632" xr:uid="{00000000-0004-0000-0000-000077020000}"/>
    <hyperlink ref="E359" r:id="rId633" xr:uid="{00000000-0004-0000-0000-000078020000}"/>
    <hyperlink ref="E358" r:id="rId634" xr:uid="{00000000-0004-0000-0000-000079020000}"/>
    <hyperlink ref="E357" r:id="rId635" xr:uid="{00000000-0004-0000-0000-00007A020000}"/>
    <hyperlink ref="E356" r:id="rId636" xr:uid="{00000000-0004-0000-0000-00007B020000}"/>
    <hyperlink ref="E355" r:id="rId637" xr:uid="{00000000-0004-0000-0000-00007C020000}"/>
    <hyperlink ref="E354" r:id="rId638" xr:uid="{00000000-0004-0000-0000-00007D020000}"/>
    <hyperlink ref="E353" r:id="rId639" xr:uid="{00000000-0004-0000-0000-00007E020000}"/>
    <hyperlink ref="E351" r:id="rId640" xr:uid="{00000000-0004-0000-0000-00007F020000}"/>
    <hyperlink ref="E352" r:id="rId641" xr:uid="{00000000-0004-0000-0000-000080020000}"/>
    <hyperlink ref="E350" r:id="rId642" xr:uid="{00000000-0004-0000-0000-000081020000}"/>
    <hyperlink ref="E349" r:id="rId643" xr:uid="{00000000-0004-0000-0000-000082020000}"/>
    <hyperlink ref="E348" r:id="rId644" xr:uid="{00000000-0004-0000-0000-000083020000}"/>
    <hyperlink ref="E347" r:id="rId645" xr:uid="{00000000-0004-0000-0000-000084020000}"/>
    <hyperlink ref="E346" r:id="rId646" xr:uid="{00000000-0004-0000-0000-000085020000}"/>
    <hyperlink ref="E345" r:id="rId647" xr:uid="{00000000-0004-0000-0000-000086020000}"/>
    <hyperlink ref="E344" r:id="rId648" xr:uid="{00000000-0004-0000-0000-000087020000}"/>
    <hyperlink ref="E343" r:id="rId649" xr:uid="{00000000-0004-0000-0000-000088020000}"/>
    <hyperlink ref="E342" r:id="rId650" xr:uid="{00000000-0004-0000-0000-000089020000}"/>
    <hyperlink ref="E341" r:id="rId651" xr:uid="{00000000-0004-0000-0000-00008A020000}"/>
    <hyperlink ref="E340" r:id="rId652" xr:uid="{00000000-0004-0000-0000-00008B020000}"/>
    <hyperlink ref="E339" r:id="rId653" xr:uid="{00000000-0004-0000-0000-00008C020000}"/>
    <hyperlink ref="E338" r:id="rId654" xr:uid="{00000000-0004-0000-0000-00008D020000}"/>
    <hyperlink ref="E337" r:id="rId655" xr:uid="{00000000-0004-0000-0000-00008E020000}"/>
    <hyperlink ref="E336" r:id="rId656" xr:uid="{00000000-0004-0000-0000-00008F020000}"/>
    <hyperlink ref="E335" r:id="rId657" xr:uid="{00000000-0004-0000-0000-000090020000}"/>
    <hyperlink ref="E334" r:id="rId658" xr:uid="{00000000-0004-0000-0000-000091020000}"/>
    <hyperlink ref="E333" r:id="rId659" xr:uid="{00000000-0004-0000-0000-000092020000}"/>
    <hyperlink ref="E332" r:id="rId660" xr:uid="{00000000-0004-0000-0000-000093020000}"/>
    <hyperlink ref="E331" r:id="rId661" xr:uid="{00000000-0004-0000-0000-000094020000}"/>
    <hyperlink ref="E330" r:id="rId662" xr:uid="{00000000-0004-0000-0000-000095020000}"/>
    <hyperlink ref="E329" r:id="rId663" xr:uid="{00000000-0004-0000-0000-000096020000}"/>
    <hyperlink ref="E328" r:id="rId664" xr:uid="{00000000-0004-0000-0000-000097020000}"/>
    <hyperlink ref="E327" r:id="rId665" xr:uid="{00000000-0004-0000-0000-000098020000}"/>
    <hyperlink ref="E326" r:id="rId666" xr:uid="{00000000-0004-0000-0000-000099020000}"/>
    <hyperlink ref="E325" r:id="rId667" xr:uid="{00000000-0004-0000-0000-00009A020000}"/>
    <hyperlink ref="E324" r:id="rId668" xr:uid="{00000000-0004-0000-0000-00009B020000}"/>
    <hyperlink ref="E323" r:id="rId669" xr:uid="{00000000-0004-0000-0000-00009C020000}"/>
    <hyperlink ref="E322" r:id="rId670" xr:uid="{00000000-0004-0000-0000-00009D020000}"/>
    <hyperlink ref="E321" r:id="rId671" xr:uid="{00000000-0004-0000-0000-00009E020000}"/>
    <hyperlink ref="E320" r:id="rId672" xr:uid="{00000000-0004-0000-0000-00009F020000}"/>
    <hyperlink ref="E319" r:id="rId673" xr:uid="{00000000-0004-0000-0000-0000A0020000}"/>
    <hyperlink ref="E318" r:id="rId674" xr:uid="{00000000-0004-0000-0000-0000A1020000}"/>
    <hyperlink ref="E317" r:id="rId675" xr:uid="{00000000-0004-0000-0000-0000A2020000}"/>
    <hyperlink ref="E316" r:id="rId676" xr:uid="{00000000-0004-0000-0000-0000A3020000}"/>
    <hyperlink ref="E315" r:id="rId677" xr:uid="{00000000-0004-0000-0000-0000A4020000}"/>
    <hyperlink ref="E314" r:id="rId678" xr:uid="{00000000-0004-0000-0000-0000A5020000}"/>
    <hyperlink ref="E313" r:id="rId679" xr:uid="{00000000-0004-0000-0000-0000A6020000}"/>
    <hyperlink ref="E312" r:id="rId680" xr:uid="{00000000-0004-0000-0000-0000A7020000}"/>
    <hyperlink ref="E311" r:id="rId681" xr:uid="{00000000-0004-0000-0000-0000A8020000}"/>
    <hyperlink ref="E310" r:id="rId682" xr:uid="{00000000-0004-0000-0000-0000A9020000}"/>
    <hyperlink ref="E309" r:id="rId683" xr:uid="{00000000-0004-0000-0000-0000AA020000}"/>
    <hyperlink ref="E308" r:id="rId684" xr:uid="{00000000-0004-0000-0000-0000AB020000}"/>
    <hyperlink ref="E307" r:id="rId685" xr:uid="{00000000-0004-0000-0000-0000AC020000}"/>
    <hyperlink ref="E306" r:id="rId686" xr:uid="{00000000-0004-0000-0000-0000AD020000}"/>
    <hyperlink ref="E305" r:id="rId687" xr:uid="{00000000-0004-0000-0000-0000AE020000}"/>
    <hyperlink ref="E304" r:id="rId688" xr:uid="{00000000-0004-0000-0000-0000AF020000}"/>
    <hyperlink ref="E303" r:id="rId689" xr:uid="{00000000-0004-0000-0000-0000B0020000}"/>
    <hyperlink ref="E302" r:id="rId690" xr:uid="{00000000-0004-0000-0000-0000B1020000}"/>
    <hyperlink ref="E301" r:id="rId691" xr:uid="{00000000-0004-0000-0000-0000B2020000}"/>
    <hyperlink ref="E300" r:id="rId692" xr:uid="{00000000-0004-0000-0000-0000B3020000}"/>
    <hyperlink ref="E299" r:id="rId693" xr:uid="{00000000-0004-0000-0000-0000B4020000}"/>
    <hyperlink ref="E298" r:id="rId694" xr:uid="{00000000-0004-0000-0000-0000B5020000}"/>
    <hyperlink ref="E297" r:id="rId695" xr:uid="{00000000-0004-0000-0000-0000B6020000}"/>
    <hyperlink ref="E296" r:id="rId696" xr:uid="{00000000-0004-0000-0000-0000B7020000}"/>
    <hyperlink ref="E295" r:id="rId697" xr:uid="{00000000-0004-0000-0000-0000B8020000}"/>
    <hyperlink ref="E294" r:id="rId698" xr:uid="{00000000-0004-0000-0000-0000B9020000}"/>
    <hyperlink ref="E293" r:id="rId699" xr:uid="{00000000-0004-0000-0000-0000BA020000}"/>
    <hyperlink ref="E292" r:id="rId700" xr:uid="{00000000-0004-0000-0000-0000BB020000}"/>
    <hyperlink ref="E291" r:id="rId701" xr:uid="{00000000-0004-0000-0000-0000BC020000}"/>
    <hyperlink ref="E290" r:id="rId702" xr:uid="{00000000-0004-0000-0000-0000BD020000}"/>
    <hyperlink ref="E289" r:id="rId703" xr:uid="{00000000-0004-0000-0000-0000BE020000}"/>
    <hyperlink ref="E287" r:id="rId704" xr:uid="{00000000-0004-0000-0000-0000BF020000}"/>
    <hyperlink ref="E288" r:id="rId705" xr:uid="{00000000-0004-0000-0000-0000C0020000}"/>
    <hyperlink ref="E286" r:id="rId706" xr:uid="{00000000-0004-0000-0000-0000C1020000}"/>
    <hyperlink ref="E285" r:id="rId707" xr:uid="{00000000-0004-0000-0000-0000C2020000}"/>
    <hyperlink ref="E284" r:id="rId708" xr:uid="{00000000-0004-0000-0000-0000C3020000}"/>
    <hyperlink ref="E283" r:id="rId709" xr:uid="{00000000-0004-0000-0000-0000C4020000}"/>
    <hyperlink ref="E282" r:id="rId710" xr:uid="{00000000-0004-0000-0000-0000C5020000}"/>
    <hyperlink ref="E281" r:id="rId711" xr:uid="{00000000-0004-0000-0000-0000C6020000}"/>
    <hyperlink ref="E280" r:id="rId712" xr:uid="{00000000-0004-0000-0000-0000C7020000}"/>
    <hyperlink ref="E279" r:id="rId713" xr:uid="{00000000-0004-0000-0000-0000C8020000}"/>
    <hyperlink ref="E278" r:id="rId714" xr:uid="{00000000-0004-0000-0000-0000C9020000}"/>
    <hyperlink ref="E277" r:id="rId715" xr:uid="{00000000-0004-0000-0000-0000CA020000}"/>
    <hyperlink ref="E276" r:id="rId716" xr:uid="{00000000-0004-0000-0000-0000CB020000}"/>
    <hyperlink ref="E275" r:id="rId717" xr:uid="{00000000-0004-0000-0000-0000CC020000}"/>
    <hyperlink ref="E274" r:id="rId718" xr:uid="{00000000-0004-0000-0000-0000CD020000}"/>
    <hyperlink ref="E273" r:id="rId719" xr:uid="{00000000-0004-0000-0000-0000CE020000}"/>
    <hyperlink ref="E272" r:id="rId720" xr:uid="{00000000-0004-0000-0000-0000CF020000}"/>
    <hyperlink ref="E271" r:id="rId721" xr:uid="{00000000-0004-0000-0000-0000D0020000}"/>
    <hyperlink ref="E270" r:id="rId722" xr:uid="{00000000-0004-0000-0000-0000D1020000}"/>
    <hyperlink ref="E269" r:id="rId723" xr:uid="{00000000-0004-0000-0000-0000D2020000}"/>
    <hyperlink ref="E268" r:id="rId724" xr:uid="{00000000-0004-0000-0000-0000D3020000}"/>
    <hyperlink ref="E267" r:id="rId725" xr:uid="{00000000-0004-0000-0000-0000D4020000}"/>
    <hyperlink ref="E266" r:id="rId726" xr:uid="{00000000-0004-0000-0000-0000D5020000}"/>
    <hyperlink ref="E265" r:id="rId727" xr:uid="{00000000-0004-0000-0000-0000D6020000}"/>
    <hyperlink ref="E264" r:id="rId728" xr:uid="{00000000-0004-0000-0000-0000D7020000}"/>
    <hyperlink ref="E263" r:id="rId729" xr:uid="{00000000-0004-0000-0000-0000D8020000}"/>
    <hyperlink ref="E262" r:id="rId730" xr:uid="{00000000-0004-0000-0000-0000D9020000}"/>
    <hyperlink ref="E261" r:id="rId731" xr:uid="{00000000-0004-0000-0000-0000DA020000}"/>
    <hyperlink ref="E260" r:id="rId732" xr:uid="{00000000-0004-0000-0000-0000DB020000}"/>
    <hyperlink ref="E259" r:id="rId733" xr:uid="{00000000-0004-0000-0000-0000DC020000}"/>
    <hyperlink ref="E258" r:id="rId734" xr:uid="{00000000-0004-0000-0000-0000DD020000}"/>
    <hyperlink ref="E257" r:id="rId735" xr:uid="{00000000-0004-0000-0000-0000DE020000}"/>
    <hyperlink ref="E256" r:id="rId736" xr:uid="{00000000-0004-0000-0000-0000DF020000}"/>
    <hyperlink ref="E255" r:id="rId737" xr:uid="{00000000-0004-0000-0000-0000E0020000}"/>
    <hyperlink ref="E254" r:id="rId738" xr:uid="{00000000-0004-0000-0000-0000E1020000}"/>
    <hyperlink ref="E253" r:id="rId739" xr:uid="{00000000-0004-0000-0000-0000E2020000}"/>
    <hyperlink ref="E252" r:id="rId740" xr:uid="{00000000-0004-0000-0000-0000E3020000}"/>
    <hyperlink ref="E251" r:id="rId741" xr:uid="{00000000-0004-0000-0000-0000E4020000}"/>
    <hyperlink ref="E250" r:id="rId742" xr:uid="{00000000-0004-0000-0000-0000E5020000}"/>
    <hyperlink ref="E249" r:id="rId743" xr:uid="{00000000-0004-0000-0000-0000E6020000}"/>
    <hyperlink ref="E248" r:id="rId744" xr:uid="{00000000-0004-0000-0000-0000E7020000}"/>
    <hyperlink ref="E247" r:id="rId745" xr:uid="{00000000-0004-0000-0000-0000E8020000}"/>
    <hyperlink ref="E246" r:id="rId746" xr:uid="{00000000-0004-0000-0000-0000E9020000}"/>
    <hyperlink ref="E245" r:id="rId747" xr:uid="{00000000-0004-0000-0000-0000EA020000}"/>
    <hyperlink ref="E244" r:id="rId748" xr:uid="{00000000-0004-0000-0000-0000EB020000}"/>
    <hyperlink ref="E243" r:id="rId749" xr:uid="{00000000-0004-0000-0000-0000EC020000}"/>
    <hyperlink ref="E242" r:id="rId750" xr:uid="{00000000-0004-0000-0000-0000ED020000}"/>
    <hyperlink ref="E241" r:id="rId751" xr:uid="{00000000-0004-0000-0000-0000EE020000}"/>
    <hyperlink ref="E240" r:id="rId752" xr:uid="{00000000-0004-0000-0000-0000EF020000}"/>
    <hyperlink ref="E239" r:id="rId753" xr:uid="{00000000-0004-0000-0000-0000F0020000}"/>
    <hyperlink ref="E238" r:id="rId754" xr:uid="{00000000-0004-0000-0000-0000F1020000}"/>
    <hyperlink ref="E237" r:id="rId755" xr:uid="{00000000-0004-0000-0000-0000F2020000}"/>
    <hyperlink ref="E236" r:id="rId756" xr:uid="{00000000-0004-0000-0000-0000F3020000}"/>
    <hyperlink ref="E235" r:id="rId757" xr:uid="{00000000-0004-0000-0000-0000F4020000}"/>
    <hyperlink ref="E234" r:id="rId758" xr:uid="{00000000-0004-0000-0000-0000F5020000}"/>
    <hyperlink ref="E233" r:id="rId759" xr:uid="{00000000-0004-0000-0000-0000F6020000}"/>
    <hyperlink ref="E232" r:id="rId760" xr:uid="{00000000-0004-0000-0000-0000F7020000}"/>
    <hyperlink ref="E231" r:id="rId761" xr:uid="{00000000-0004-0000-0000-0000F8020000}"/>
    <hyperlink ref="E230" r:id="rId762" xr:uid="{00000000-0004-0000-0000-0000F9020000}"/>
    <hyperlink ref="E229" r:id="rId763" xr:uid="{00000000-0004-0000-0000-0000FA020000}"/>
    <hyperlink ref="E228" r:id="rId764" xr:uid="{00000000-0004-0000-0000-0000FB020000}"/>
    <hyperlink ref="E227" r:id="rId765" xr:uid="{00000000-0004-0000-0000-0000FC020000}"/>
    <hyperlink ref="E226" r:id="rId766" xr:uid="{00000000-0004-0000-0000-0000FD020000}"/>
    <hyperlink ref="E225" r:id="rId767" xr:uid="{00000000-0004-0000-0000-0000FE020000}"/>
    <hyperlink ref="E224" r:id="rId768" xr:uid="{00000000-0004-0000-0000-0000FF020000}"/>
    <hyperlink ref="E223" r:id="rId769" xr:uid="{00000000-0004-0000-0000-000000030000}"/>
    <hyperlink ref="E222" r:id="rId770" xr:uid="{00000000-0004-0000-0000-000001030000}"/>
    <hyperlink ref="E221" r:id="rId771" xr:uid="{00000000-0004-0000-0000-000002030000}"/>
    <hyperlink ref="E220" r:id="rId772" xr:uid="{00000000-0004-0000-0000-000003030000}"/>
    <hyperlink ref="E219" r:id="rId773" xr:uid="{00000000-0004-0000-0000-000004030000}"/>
    <hyperlink ref="E218" r:id="rId774" xr:uid="{00000000-0004-0000-0000-000005030000}"/>
    <hyperlink ref="E217" r:id="rId775" xr:uid="{00000000-0004-0000-0000-000006030000}"/>
    <hyperlink ref="E216" r:id="rId776" xr:uid="{00000000-0004-0000-0000-000007030000}"/>
    <hyperlink ref="E215" r:id="rId777" xr:uid="{00000000-0004-0000-0000-000008030000}"/>
    <hyperlink ref="E214" r:id="rId778" xr:uid="{00000000-0004-0000-0000-000009030000}"/>
    <hyperlink ref="E213" r:id="rId779" xr:uid="{00000000-0004-0000-0000-00000A030000}"/>
    <hyperlink ref="E212" r:id="rId780" xr:uid="{00000000-0004-0000-0000-00000B030000}"/>
    <hyperlink ref="E211" r:id="rId781" xr:uid="{00000000-0004-0000-0000-00000C030000}"/>
    <hyperlink ref="E210" r:id="rId782" xr:uid="{00000000-0004-0000-0000-00000D030000}"/>
    <hyperlink ref="E209" r:id="rId783" xr:uid="{00000000-0004-0000-0000-00000E030000}"/>
    <hyperlink ref="E208" r:id="rId784" xr:uid="{00000000-0004-0000-0000-00000F030000}"/>
    <hyperlink ref="E207" r:id="rId785" xr:uid="{00000000-0004-0000-0000-000010030000}"/>
    <hyperlink ref="E206" r:id="rId786" xr:uid="{00000000-0004-0000-0000-000011030000}"/>
    <hyperlink ref="E205" r:id="rId787" xr:uid="{00000000-0004-0000-0000-000012030000}"/>
    <hyperlink ref="E204" r:id="rId788" xr:uid="{00000000-0004-0000-0000-000013030000}"/>
    <hyperlink ref="E203" r:id="rId789" xr:uid="{00000000-0004-0000-0000-000014030000}"/>
    <hyperlink ref="E202" r:id="rId790" xr:uid="{00000000-0004-0000-0000-000015030000}"/>
    <hyperlink ref="E200" r:id="rId791" xr:uid="{00000000-0004-0000-0000-000016030000}"/>
    <hyperlink ref="E201" r:id="rId792" xr:uid="{00000000-0004-0000-0000-000017030000}"/>
    <hyperlink ref="E199" r:id="rId793" xr:uid="{00000000-0004-0000-0000-000018030000}"/>
    <hyperlink ref="E198" r:id="rId794" xr:uid="{00000000-0004-0000-0000-000019030000}"/>
    <hyperlink ref="E197" r:id="rId795" xr:uid="{00000000-0004-0000-0000-00001A030000}"/>
    <hyperlink ref="E196" r:id="rId796" xr:uid="{00000000-0004-0000-0000-00001B030000}"/>
    <hyperlink ref="E195" r:id="rId797" xr:uid="{00000000-0004-0000-0000-00001C030000}"/>
    <hyperlink ref="E194" r:id="rId798" xr:uid="{00000000-0004-0000-0000-00001D030000}"/>
    <hyperlink ref="E193" r:id="rId799" xr:uid="{00000000-0004-0000-0000-00001E030000}"/>
    <hyperlink ref="E192" r:id="rId800" xr:uid="{00000000-0004-0000-0000-00001F030000}"/>
    <hyperlink ref="E191" r:id="rId801" xr:uid="{00000000-0004-0000-0000-000020030000}"/>
    <hyperlink ref="E190" r:id="rId802" xr:uid="{00000000-0004-0000-0000-000021030000}"/>
    <hyperlink ref="E189" r:id="rId803" xr:uid="{00000000-0004-0000-0000-000022030000}"/>
    <hyperlink ref="E188" r:id="rId804" xr:uid="{00000000-0004-0000-0000-000023030000}"/>
    <hyperlink ref="E187" r:id="rId805" xr:uid="{00000000-0004-0000-0000-000024030000}"/>
    <hyperlink ref="E186" r:id="rId806" xr:uid="{00000000-0004-0000-0000-000025030000}"/>
    <hyperlink ref="E185" r:id="rId807" xr:uid="{00000000-0004-0000-0000-000026030000}"/>
    <hyperlink ref="E184" r:id="rId808" xr:uid="{00000000-0004-0000-0000-000027030000}"/>
    <hyperlink ref="E183" r:id="rId809" xr:uid="{00000000-0004-0000-0000-000028030000}"/>
    <hyperlink ref="E182" r:id="rId810" xr:uid="{00000000-0004-0000-0000-000029030000}"/>
    <hyperlink ref="E181" r:id="rId811" xr:uid="{00000000-0004-0000-0000-00002A030000}"/>
    <hyperlink ref="E180" r:id="rId812" xr:uid="{00000000-0004-0000-0000-00002B030000}"/>
    <hyperlink ref="E179" r:id="rId813" xr:uid="{00000000-0004-0000-0000-00002C030000}"/>
    <hyperlink ref="E178" r:id="rId814" xr:uid="{00000000-0004-0000-0000-00002D030000}"/>
    <hyperlink ref="E177" r:id="rId815" xr:uid="{00000000-0004-0000-0000-00002E030000}"/>
    <hyperlink ref="E176" r:id="rId816" xr:uid="{00000000-0004-0000-0000-00002F030000}"/>
    <hyperlink ref="E175" r:id="rId817" xr:uid="{00000000-0004-0000-0000-000030030000}"/>
    <hyperlink ref="E174" r:id="rId818" xr:uid="{00000000-0004-0000-0000-000031030000}"/>
    <hyperlink ref="E173" r:id="rId819" xr:uid="{00000000-0004-0000-0000-000032030000}"/>
    <hyperlink ref="E172" r:id="rId820" xr:uid="{00000000-0004-0000-0000-000033030000}"/>
    <hyperlink ref="E171" r:id="rId821" xr:uid="{00000000-0004-0000-0000-000034030000}"/>
    <hyperlink ref="E170" r:id="rId822" xr:uid="{00000000-0004-0000-0000-000035030000}"/>
    <hyperlink ref="E169" r:id="rId823" xr:uid="{00000000-0004-0000-0000-000036030000}"/>
    <hyperlink ref="E168" r:id="rId824" xr:uid="{00000000-0004-0000-0000-000037030000}"/>
    <hyperlink ref="E167" r:id="rId825" xr:uid="{00000000-0004-0000-0000-000038030000}"/>
    <hyperlink ref="E166" r:id="rId826" xr:uid="{00000000-0004-0000-0000-000039030000}"/>
    <hyperlink ref="E165" r:id="rId827" xr:uid="{00000000-0004-0000-0000-00003A030000}"/>
    <hyperlink ref="E164" r:id="rId828" xr:uid="{00000000-0004-0000-0000-00003B030000}"/>
    <hyperlink ref="E163" r:id="rId829" xr:uid="{00000000-0004-0000-0000-00003C030000}"/>
    <hyperlink ref="E162" r:id="rId830" xr:uid="{00000000-0004-0000-0000-00003D030000}"/>
    <hyperlink ref="E161" r:id="rId831" xr:uid="{00000000-0004-0000-0000-00003E030000}"/>
    <hyperlink ref="E160" r:id="rId832" xr:uid="{00000000-0004-0000-0000-00003F030000}"/>
    <hyperlink ref="E159" r:id="rId833" xr:uid="{00000000-0004-0000-0000-000040030000}"/>
    <hyperlink ref="E158" r:id="rId834" xr:uid="{00000000-0004-0000-0000-000041030000}"/>
    <hyperlink ref="E157" r:id="rId835" xr:uid="{00000000-0004-0000-0000-000042030000}"/>
    <hyperlink ref="E156" r:id="rId836" xr:uid="{00000000-0004-0000-0000-000043030000}"/>
    <hyperlink ref="E155" r:id="rId837" xr:uid="{00000000-0004-0000-0000-000044030000}"/>
    <hyperlink ref="E154" r:id="rId838" xr:uid="{00000000-0004-0000-0000-000045030000}"/>
    <hyperlink ref="E153" r:id="rId839" xr:uid="{00000000-0004-0000-0000-000046030000}"/>
    <hyperlink ref="E152" r:id="rId840" xr:uid="{00000000-0004-0000-0000-000047030000}"/>
    <hyperlink ref="E151" r:id="rId841" xr:uid="{00000000-0004-0000-0000-000048030000}"/>
    <hyperlink ref="E150" r:id="rId842" xr:uid="{00000000-0004-0000-0000-000049030000}"/>
    <hyperlink ref="E149" r:id="rId843" xr:uid="{00000000-0004-0000-0000-00004A030000}"/>
    <hyperlink ref="E148" r:id="rId844" xr:uid="{00000000-0004-0000-0000-00004B030000}"/>
    <hyperlink ref="E147" r:id="rId845" xr:uid="{00000000-0004-0000-0000-00004C030000}"/>
    <hyperlink ref="E146" r:id="rId846" xr:uid="{00000000-0004-0000-0000-00004D030000}"/>
    <hyperlink ref="E145" r:id="rId847" xr:uid="{00000000-0004-0000-0000-00004E030000}"/>
    <hyperlink ref="E144" r:id="rId848" xr:uid="{00000000-0004-0000-0000-00004F030000}"/>
    <hyperlink ref="E143" r:id="rId849" xr:uid="{00000000-0004-0000-0000-000050030000}"/>
    <hyperlink ref="E142" r:id="rId850" xr:uid="{00000000-0004-0000-0000-000051030000}"/>
    <hyperlink ref="E141" r:id="rId851" xr:uid="{00000000-0004-0000-0000-000052030000}"/>
    <hyperlink ref="E140" r:id="rId852" xr:uid="{00000000-0004-0000-0000-000053030000}"/>
    <hyperlink ref="E139" r:id="rId853" xr:uid="{00000000-0004-0000-0000-000054030000}"/>
    <hyperlink ref="E138" r:id="rId854" xr:uid="{00000000-0004-0000-0000-000055030000}"/>
    <hyperlink ref="E137" r:id="rId855" xr:uid="{00000000-0004-0000-0000-000056030000}"/>
    <hyperlink ref="E136" r:id="rId856" xr:uid="{00000000-0004-0000-0000-000057030000}"/>
    <hyperlink ref="E135" r:id="rId857" xr:uid="{00000000-0004-0000-0000-000058030000}"/>
    <hyperlink ref="E134" r:id="rId858" xr:uid="{00000000-0004-0000-0000-000059030000}"/>
    <hyperlink ref="E133" r:id="rId859" xr:uid="{00000000-0004-0000-0000-00005A030000}"/>
    <hyperlink ref="E132" r:id="rId860" xr:uid="{00000000-0004-0000-0000-00005B030000}"/>
    <hyperlink ref="E131" r:id="rId861" xr:uid="{00000000-0004-0000-0000-00005C030000}"/>
    <hyperlink ref="E130" r:id="rId862" xr:uid="{00000000-0004-0000-0000-00005D030000}"/>
    <hyperlink ref="E129" r:id="rId863" xr:uid="{00000000-0004-0000-0000-00005E030000}"/>
    <hyperlink ref="E128" r:id="rId864" xr:uid="{00000000-0004-0000-0000-00005F030000}"/>
    <hyperlink ref="E127" r:id="rId865" xr:uid="{00000000-0004-0000-0000-000060030000}"/>
    <hyperlink ref="E126" r:id="rId866" xr:uid="{00000000-0004-0000-0000-000061030000}"/>
    <hyperlink ref="E125" r:id="rId867" xr:uid="{00000000-0004-0000-0000-000062030000}"/>
    <hyperlink ref="E124" r:id="rId868" xr:uid="{00000000-0004-0000-0000-000063030000}"/>
    <hyperlink ref="E123" r:id="rId869" xr:uid="{00000000-0004-0000-0000-000064030000}"/>
    <hyperlink ref="E122" r:id="rId870" xr:uid="{00000000-0004-0000-0000-000065030000}"/>
    <hyperlink ref="E121" r:id="rId871" xr:uid="{00000000-0004-0000-0000-000066030000}"/>
    <hyperlink ref="E120" r:id="rId872" xr:uid="{00000000-0004-0000-0000-000067030000}"/>
    <hyperlink ref="E119" r:id="rId873" xr:uid="{00000000-0004-0000-0000-000068030000}"/>
    <hyperlink ref="E118" r:id="rId874" xr:uid="{00000000-0004-0000-0000-000069030000}"/>
    <hyperlink ref="E117" r:id="rId875" xr:uid="{00000000-0004-0000-0000-00006A030000}"/>
    <hyperlink ref="E116" r:id="rId876" xr:uid="{00000000-0004-0000-0000-00006B030000}"/>
    <hyperlink ref="E115" r:id="rId877" xr:uid="{00000000-0004-0000-0000-00006C030000}"/>
    <hyperlink ref="E114" r:id="rId878" xr:uid="{00000000-0004-0000-0000-00006D030000}"/>
    <hyperlink ref="E113" r:id="rId879" xr:uid="{00000000-0004-0000-0000-00006E030000}"/>
    <hyperlink ref="E112" r:id="rId880" xr:uid="{00000000-0004-0000-0000-00006F030000}"/>
    <hyperlink ref="E111" r:id="rId881" xr:uid="{00000000-0004-0000-0000-000070030000}"/>
    <hyperlink ref="E110" r:id="rId882" xr:uid="{00000000-0004-0000-0000-000071030000}"/>
    <hyperlink ref="E109" r:id="rId883" xr:uid="{00000000-0004-0000-0000-000072030000}"/>
    <hyperlink ref="E108" r:id="rId884" xr:uid="{00000000-0004-0000-0000-000073030000}"/>
    <hyperlink ref="E107" r:id="rId885" xr:uid="{00000000-0004-0000-0000-000074030000}"/>
    <hyperlink ref="E106" r:id="rId886" xr:uid="{00000000-0004-0000-0000-000075030000}"/>
    <hyperlink ref="E105" r:id="rId887" xr:uid="{00000000-0004-0000-0000-000076030000}"/>
    <hyperlink ref="E104" r:id="rId888" xr:uid="{00000000-0004-0000-0000-000077030000}"/>
    <hyperlink ref="E103" r:id="rId889" xr:uid="{00000000-0004-0000-0000-000078030000}"/>
    <hyperlink ref="E102" r:id="rId890" xr:uid="{00000000-0004-0000-0000-000079030000}"/>
    <hyperlink ref="E101" r:id="rId891" xr:uid="{00000000-0004-0000-0000-00007A030000}"/>
    <hyperlink ref="E100" r:id="rId892" xr:uid="{00000000-0004-0000-0000-00007B030000}"/>
    <hyperlink ref="E99" r:id="rId893" xr:uid="{00000000-0004-0000-0000-00007C030000}"/>
    <hyperlink ref="E98" r:id="rId894" xr:uid="{00000000-0004-0000-0000-00007D030000}"/>
    <hyperlink ref="E97" r:id="rId895" xr:uid="{00000000-0004-0000-0000-00007E030000}"/>
    <hyperlink ref="E96" r:id="rId896" xr:uid="{00000000-0004-0000-0000-00007F030000}"/>
    <hyperlink ref="E95" r:id="rId897" xr:uid="{00000000-0004-0000-0000-000080030000}"/>
    <hyperlink ref="E94" r:id="rId898" xr:uid="{00000000-0004-0000-0000-000081030000}"/>
    <hyperlink ref="E93" r:id="rId899" xr:uid="{00000000-0004-0000-0000-000082030000}"/>
    <hyperlink ref="E92" r:id="rId900" xr:uid="{00000000-0004-0000-0000-000083030000}"/>
    <hyperlink ref="E91" r:id="rId901" xr:uid="{00000000-0004-0000-0000-000084030000}"/>
    <hyperlink ref="E90" r:id="rId902" xr:uid="{00000000-0004-0000-0000-000085030000}"/>
    <hyperlink ref="E89" r:id="rId903" xr:uid="{00000000-0004-0000-0000-000086030000}"/>
    <hyperlink ref="E87" r:id="rId904" xr:uid="{00000000-0004-0000-0000-000087030000}"/>
    <hyperlink ref="E88" r:id="rId905" xr:uid="{00000000-0004-0000-0000-000088030000}"/>
    <hyperlink ref="E86" r:id="rId906" xr:uid="{00000000-0004-0000-0000-000089030000}"/>
    <hyperlink ref="E85" r:id="rId907" xr:uid="{00000000-0004-0000-0000-00008A030000}"/>
    <hyperlink ref="E84" r:id="rId908" xr:uid="{00000000-0004-0000-0000-00008B030000}"/>
    <hyperlink ref="E83" r:id="rId909" xr:uid="{00000000-0004-0000-0000-00008C030000}"/>
    <hyperlink ref="E82" r:id="rId910" xr:uid="{00000000-0004-0000-0000-00008D030000}"/>
    <hyperlink ref="E81" r:id="rId911" xr:uid="{00000000-0004-0000-0000-00008E030000}"/>
    <hyperlink ref="E80" r:id="rId912" xr:uid="{00000000-0004-0000-0000-00008F030000}"/>
    <hyperlink ref="E79" r:id="rId913" xr:uid="{00000000-0004-0000-0000-000090030000}"/>
    <hyperlink ref="E78" r:id="rId914" xr:uid="{00000000-0004-0000-0000-000091030000}"/>
    <hyperlink ref="E77" r:id="rId915" xr:uid="{00000000-0004-0000-0000-000092030000}"/>
    <hyperlink ref="E76" r:id="rId916" xr:uid="{00000000-0004-0000-0000-000093030000}"/>
    <hyperlink ref="E75" r:id="rId917" xr:uid="{00000000-0004-0000-0000-000094030000}"/>
    <hyperlink ref="E74" r:id="rId918" xr:uid="{00000000-0004-0000-0000-000095030000}"/>
    <hyperlink ref="E73" r:id="rId919" xr:uid="{00000000-0004-0000-0000-000096030000}"/>
    <hyperlink ref="E72" r:id="rId920" xr:uid="{00000000-0004-0000-0000-000097030000}"/>
    <hyperlink ref="E71" r:id="rId921" xr:uid="{00000000-0004-0000-0000-000098030000}"/>
    <hyperlink ref="E70" r:id="rId922" xr:uid="{00000000-0004-0000-0000-000099030000}"/>
    <hyperlink ref="E69" r:id="rId923" xr:uid="{00000000-0004-0000-0000-00009A030000}"/>
    <hyperlink ref="E68" r:id="rId924" xr:uid="{00000000-0004-0000-0000-00009B030000}"/>
    <hyperlink ref="E67" r:id="rId925" xr:uid="{00000000-0004-0000-0000-00009C030000}"/>
    <hyperlink ref="E66" r:id="rId926" xr:uid="{00000000-0004-0000-0000-00009D030000}"/>
    <hyperlink ref="E65" r:id="rId927" xr:uid="{00000000-0004-0000-0000-00009E030000}"/>
    <hyperlink ref="E64" r:id="rId928" xr:uid="{00000000-0004-0000-0000-00009F030000}"/>
    <hyperlink ref="E63" r:id="rId929" xr:uid="{00000000-0004-0000-0000-0000A0030000}"/>
    <hyperlink ref="E62" r:id="rId930" xr:uid="{00000000-0004-0000-0000-0000A1030000}"/>
    <hyperlink ref="E61" r:id="rId931" xr:uid="{00000000-0004-0000-0000-0000A2030000}"/>
    <hyperlink ref="E60" r:id="rId932" xr:uid="{00000000-0004-0000-0000-0000A3030000}"/>
    <hyperlink ref="E58" r:id="rId933" xr:uid="{00000000-0004-0000-0000-0000A4030000}"/>
    <hyperlink ref="E59" r:id="rId934" xr:uid="{00000000-0004-0000-0000-0000A5030000}"/>
    <hyperlink ref="E56" r:id="rId935" xr:uid="{00000000-0004-0000-0000-0000A6030000}"/>
    <hyperlink ref="E57" r:id="rId936" xr:uid="{00000000-0004-0000-0000-0000A7030000}"/>
    <hyperlink ref="E54" r:id="rId937" xr:uid="{00000000-0004-0000-0000-0000A8030000}"/>
    <hyperlink ref="E55" r:id="rId938" xr:uid="{00000000-0004-0000-0000-0000A9030000}"/>
    <hyperlink ref="E53" r:id="rId939" xr:uid="{00000000-0004-0000-0000-0000AA030000}"/>
    <hyperlink ref="E52" r:id="rId940" xr:uid="{00000000-0004-0000-0000-0000AB030000}"/>
    <hyperlink ref="E51" r:id="rId941" xr:uid="{00000000-0004-0000-0000-0000AC030000}"/>
    <hyperlink ref="E50" r:id="rId942" xr:uid="{00000000-0004-0000-0000-0000AD030000}"/>
    <hyperlink ref="E49" r:id="rId943" xr:uid="{00000000-0004-0000-0000-0000AE030000}"/>
    <hyperlink ref="E48" r:id="rId944" xr:uid="{00000000-0004-0000-0000-0000AF030000}"/>
    <hyperlink ref="E47" r:id="rId945" xr:uid="{00000000-0004-0000-0000-0000B0030000}"/>
    <hyperlink ref="E46" r:id="rId946" xr:uid="{00000000-0004-0000-0000-0000B1030000}"/>
    <hyperlink ref="E45" r:id="rId947" xr:uid="{00000000-0004-0000-0000-0000B2030000}"/>
    <hyperlink ref="E44" r:id="rId948" xr:uid="{00000000-0004-0000-0000-0000B3030000}"/>
    <hyperlink ref="E43" r:id="rId949" xr:uid="{00000000-0004-0000-0000-0000B4030000}"/>
    <hyperlink ref="E42" r:id="rId950" xr:uid="{00000000-0004-0000-0000-0000B5030000}"/>
    <hyperlink ref="E41" r:id="rId951" xr:uid="{00000000-0004-0000-0000-0000B6030000}"/>
    <hyperlink ref="E40" r:id="rId952" xr:uid="{00000000-0004-0000-0000-0000B7030000}"/>
    <hyperlink ref="E39" r:id="rId953" xr:uid="{00000000-0004-0000-0000-0000B8030000}"/>
    <hyperlink ref="E38" r:id="rId954" xr:uid="{00000000-0004-0000-0000-0000B9030000}"/>
    <hyperlink ref="E37" r:id="rId955" xr:uid="{00000000-0004-0000-0000-0000BA030000}"/>
    <hyperlink ref="E36" r:id="rId956" xr:uid="{00000000-0004-0000-0000-0000BB030000}"/>
    <hyperlink ref="E35" r:id="rId957" xr:uid="{00000000-0004-0000-0000-0000BC030000}"/>
    <hyperlink ref="E34" r:id="rId958" xr:uid="{00000000-0004-0000-0000-0000BD030000}"/>
    <hyperlink ref="E33" r:id="rId959" xr:uid="{00000000-0004-0000-0000-0000BE030000}"/>
    <hyperlink ref="E32" r:id="rId960" xr:uid="{00000000-0004-0000-0000-0000BF030000}"/>
    <hyperlink ref="E31" r:id="rId961" xr:uid="{00000000-0004-0000-0000-0000C0030000}"/>
    <hyperlink ref="E30" r:id="rId962" xr:uid="{00000000-0004-0000-0000-0000C1030000}"/>
    <hyperlink ref="E29" r:id="rId963" xr:uid="{00000000-0004-0000-0000-0000C2030000}"/>
    <hyperlink ref="E28" r:id="rId964" xr:uid="{00000000-0004-0000-0000-0000C3030000}"/>
    <hyperlink ref="E27" r:id="rId965" xr:uid="{00000000-0004-0000-0000-0000C4030000}"/>
    <hyperlink ref="E26" r:id="rId966" xr:uid="{00000000-0004-0000-0000-0000C5030000}"/>
    <hyperlink ref="E25" r:id="rId967" xr:uid="{00000000-0004-0000-0000-0000C6030000}"/>
    <hyperlink ref="E24" r:id="rId968" xr:uid="{00000000-0004-0000-0000-0000C7030000}"/>
    <hyperlink ref="E23" r:id="rId969" xr:uid="{00000000-0004-0000-0000-0000C8030000}"/>
    <hyperlink ref="E21" r:id="rId970" xr:uid="{00000000-0004-0000-0000-0000C9030000}"/>
    <hyperlink ref="E22" r:id="rId971" xr:uid="{00000000-0004-0000-0000-0000CA030000}"/>
    <hyperlink ref="E19" r:id="rId972" xr:uid="{00000000-0004-0000-0000-0000CB030000}"/>
    <hyperlink ref="E20" r:id="rId973" xr:uid="{00000000-0004-0000-0000-0000CC030000}"/>
    <hyperlink ref="E18" r:id="rId974" xr:uid="{00000000-0004-0000-0000-0000CD030000}"/>
    <hyperlink ref="E17" r:id="rId975" xr:uid="{00000000-0004-0000-0000-0000CE030000}"/>
    <hyperlink ref="E15" r:id="rId976" xr:uid="{00000000-0004-0000-0000-0000CF030000}"/>
    <hyperlink ref="E16" r:id="rId977" xr:uid="{00000000-0004-0000-0000-0000D0030000}"/>
    <hyperlink ref="E14" r:id="rId978" xr:uid="{00000000-0004-0000-0000-0000D1030000}"/>
    <hyperlink ref="E13" r:id="rId979" xr:uid="{00000000-0004-0000-0000-0000D2030000}"/>
    <hyperlink ref="E12" r:id="rId980" xr:uid="{00000000-0004-0000-0000-0000D3030000}"/>
    <hyperlink ref="E11" r:id="rId981" xr:uid="{00000000-0004-0000-0000-0000D4030000}"/>
    <hyperlink ref="E10" r:id="rId982" xr:uid="{00000000-0004-0000-0000-0000D5030000}"/>
    <hyperlink ref="E9" r:id="rId983" xr:uid="{00000000-0004-0000-0000-0000D6030000}"/>
    <hyperlink ref="E8" r:id="rId984" xr:uid="{00000000-0004-0000-0000-0000D7030000}"/>
    <hyperlink ref="E7" r:id="rId985" xr:uid="{00000000-0004-0000-0000-0000D8030000}"/>
    <hyperlink ref="E6" r:id="rId986" xr:uid="{00000000-0004-0000-0000-0000D9030000}"/>
    <hyperlink ref="E5" r:id="rId987" xr:uid="{00000000-0004-0000-0000-0000DA030000}"/>
    <hyperlink ref="E4" r:id="rId988" xr:uid="{00000000-0004-0000-0000-0000DB030000}"/>
    <hyperlink ref="E3" r:id="rId989" xr:uid="{00000000-0004-0000-0000-0000DC030000}"/>
    <hyperlink ref="E2" r:id="rId990" xr:uid="{00000000-0004-0000-0000-0000DD030000}"/>
  </hyperlinks>
  <pageMargins left="0.7" right="0.7" top="0.75" bottom="0.75" header="0.3" footer="0.3"/>
  <tableParts count="1">
    <tablePart r:id="rId99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記録一覧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Hiromi Iwamoto</cp:lastModifiedBy>
  <dcterms:created xsi:type="dcterms:W3CDTF">2026-09-05T12:38:47Z</dcterms:created>
  <dcterms:modified xsi:type="dcterms:W3CDTF">2026-09-08T00:58:20Z</dcterms:modified>
</cp:coreProperties>
</file>